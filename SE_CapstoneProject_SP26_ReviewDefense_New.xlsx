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.FPTU\9.Capstone\3.OnGoing\2026-01\"/>
    </mc:Choice>
  </mc:AlternateContent>
  <xr:revisionPtr revIDLastSave="0" documentId="13_ncr:1_{3A8BBC7D-9E8A-4B47-B7C6-49813C5FEF8A}" xr6:coauthVersionLast="47" xr6:coauthVersionMax="47" xr10:uidLastSave="{00000000-0000-0000-0000-000000000000}"/>
  <bookViews>
    <workbookView xWindow="-110" yWindow="-110" windowWidth="19420" windowHeight="10300" xr2:uid="{6CDCB7FD-8F12-4BF0-A998-3E0DD8C079A1}"/>
  </bookViews>
  <sheets>
    <sheet name="Project" sheetId="2" r:id="rId1"/>
    <sheet name="Review1" sheetId="1" r:id="rId2"/>
    <sheet name="Review2" sheetId="4" r:id="rId3"/>
    <sheet name="Review3" sheetId="5" r:id="rId4"/>
    <sheet name="Defense1" sheetId="6" r:id="rId5"/>
    <sheet name="Defense2" sheetId="8" r:id="rId6"/>
    <sheet name="Summary" sheetId="3" r:id="rId7"/>
  </sheets>
  <definedNames>
    <definedName name="_xlnm._FilterDatabase" localSheetId="0" hidden="1">Project!$A$3:$BG$134</definedName>
    <definedName name="_xlnm._FilterDatabase" localSheetId="1" hidden="1">Review1!$A$4:$N$49</definedName>
    <definedName name="_xlnm._FilterDatabase" localSheetId="2" hidden="1">Review2!$A$4:$N$49</definedName>
    <definedName name="_xlnm._FilterDatabase" localSheetId="3" hidden="1">Review3!$A$4:$N$49</definedName>
    <definedName name="_xlnm._FilterDatabase" localSheetId="6" hidden="1">Summary!$B$1:$J$1</definedName>
    <definedName name="defense1_forgroup_code">Project!$AP$4:$AP$150</definedName>
    <definedName name="defense1_list">Defense1!$D$3:$J$22</definedName>
    <definedName name="defense2_forgroup_code">Project!$AZ$4:$AZ$150</definedName>
    <definedName name="defense2_list">Defense2!$D$3:$J$22</definedName>
    <definedName name="NameCode">_xlfn.LAMBDA(_xlpm.txt,SUM(CODE(MID(_xlpm.txt,_xlfn.SEQUENCE(LEN(_xlpm.txt)),1))+113))</definedName>
    <definedName name="review1">Review1!$A$5:$L$49</definedName>
    <definedName name="review1_code">Project!$J$4:$J$134</definedName>
    <definedName name="review1_table">Review1!$A$5:$K$48</definedName>
    <definedName name="review2">Review2!$A$5:$L$49</definedName>
    <definedName name="review2_code">Project!$T$4:$T$134</definedName>
    <definedName name="review2_table">Review2!$A$5:$K$48</definedName>
    <definedName name="review3">Review3!$A$5:$L$51</definedName>
    <definedName name="review3_code">Project!$AD$4:$AD$150</definedName>
    <definedName name="review3_table">Review3!$A$5:$K$48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5" i="2" l="1"/>
  <c r="BD18" i="2"/>
  <c r="BD30" i="2"/>
  <c r="BD13" i="2"/>
  <c r="BD22" i="2"/>
  <c r="BD19" i="2"/>
  <c r="BD31" i="2"/>
  <c r="BD6" i="2"/>
  <c r="BD59" i="2"/>
  <c r="BD20" i="2"/>
  <c r="BD32" i="2"/>
  <c r="BD7" i="2"/>
  <c r="BD23" i="2"/>
  <c r="BD25" i="2"/>
  <c r="BD42" i="2"/>
  <c r="BD24" i="2"/>
  <c r="BD41" i="2"/>
  <c r="BD26" i="2"/>
  <c r="BD33" i="2"/>
  <c r="BD60" i="2"/>
  <c r="BD14" i="2"/>
  <c r="BD27" i="2"/>
  <c r="BD15" i="2"/>
  <c r="BD8" i="2"/>
  <c r="BD39" i="2"/>
  <c r="BD28" i="2"/>
  <c r="BD43" i="2"/>
  <c r="BD34" i="2"/>
  <c r="BD29" i="2"/>
  <c r="BD61" i="2"/>
  <c r="BD10" i="2"/>
  <c r="BD55" i="2"/>
  <c r="BD12" i="2"/>
  <c r="BD11" i="2"/>
  <c r="BD47" i="2"/>
  <c r="BD45" i="2"/>
  <c r="BD46" i="2"/>
  <c r="BD53" i="2"/>
  <c r="BD16" i="2"/>
  <c r="BD52" i="2"/>
  <c r="BD35" i="2"/>
  <c r="BD54" i="2"/>
  <c r="BD44" i="2"/>
  <c r="BD36" i="2"/>
  <c r="BD48" i="2"/>
  <c r="BD17" i="2"/>
  <c r="BD21" i="2"/>
  <c r="BD40" i="2"/>
  <c r="BD57" i="2"/>
  <c r="BD49" i="2"/>
  <c r="BD50" i="2"/>
  <c r="BD51" i="2"/>
  <c r="BD9" i="2"/>
  <c r="BD62" i="2"/>
  <c r="BD58" i="2"/>
  <c r="BD56" i="2"/>
  <c r="BD38" i="2"/>
  <c r="BD37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4" i="2"/>
  <c r="BB5" i="2"/>
  <c r="BB18" i="2"/>
  <c r="BB30" i="2"/>
  <c r="BB13" i="2"/>
  <c r="BB22" i="2"/>
  <c r="BB19" i="2"/>
  <c r="BB31" i="2"/>
  <c r="BB6" i="2"/>
  <c r="BB59" i="2"/>
  <c r="BB20" i="2"/>
  <c r="BB32" i="2"/>
  <c r="BB7" i="2"/>
  <c r="BB23" i="2"/>
  <c r="BB25" i="2"/>
  <c r="BB42" i="2"/>
  <c r="BB24" i="2"/>
  <c r="BB41" i="2"/>
  <c r="BB26" i="2"/>
  <c r="BB33" i="2"/>
  <c r="BB60" i="2"/>
  <c r="BB14" i="2"/>
  <c r="BB27" i="2"/>
  <c r="BB15" i="2"/>
  <c r="BB8" i="2"/>
  <c r="BB39" i="2"/>
  <c r="BB28" i="2"/>
  <c r="BB43" i="2"/>
  <c r="BB34" i="2"/>
  <c r="BB29" i="2"/>
  <c r="BB61" i="2"/>
  <c r="BB10" i="2"/>
  <c r="BB55" i="2"/>
  <c r="BB12" i="2"/>
  <c r="BB11" i="2"/>
  <c r="BB47" i="2"/>
  <c r="BB45" i="2"/>
  <c r="BB46" i="2"/>
  <c r="BB53" i="2"/>
  <c r="BB16" i="2"/>
  <c r="BB52" i="2"/>
  <c r="BB35" i="2"/>
  <c r="BB54" i="2"/>
  <c r="BB44" i="2"/>
  <c r="BB36" i="2"/>
  <c r="BB48" i="2"/>
  <c r="BB17" i="2"/>
  <c r="BB21" i="2"/>
  <c r="BB40" i="2"/>
  <c r="BB57" i="2"/>
  <c r="BB49" i="2"/>
  <c r="BB50" i="2"/>
  <c r="BB51" i="2"/>
  <c r="BB9" i="2"/>
  <c r="BB62" i="2"/>
  <c r="BB58" i="2"/>
  <c r="BB56" i="2"/>
  <c r="BB38" i="2"/>
  <c r="BB37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4" i="2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3" i="8"/>
  <c r="BA29" i="2"/>
  <c r="BC29" i="2" s="1"/>
  <c r="BA30" i="2"/>
  <c r="BC30" i="2" s="1"/>
  <c r="BA31" i="2"/>
  <c r="BC31" i="2" s="1"/>
  <c r="BA20" i="2"/>
  <c r="BC20" i="2" s="1"/>
  <c r="BA32" i="2"/>
  <c r="BC32" i="2" s="1"/>
  <c r="BA25" i="2"/>
  <c r="BC25" i="2" s="1"/>
  <c r="BA42" i="2"/>
  <c r="BC42" i="2" s="1"/>
  <c r="BA26" i="2"/>
  <c r="BC26" i="2" s="1"/>
  <c r="BA33" i="2"/>
  <c r="BC33" i="2" s="1"/>
  <c r="BA60" i="2"/>
  <c r="BC60" i="2" s="1"/>
  <c r="BA27" i="2"/>
  <c r="BC27" i="2" s="1"/>
  <c r="BA39" i="2"/>
  <c r="BC39" i="2" s="1"/>
  <c r="BA28" i="2"/>
  <c r="BC28" i="2" s="1"/>
  <c r="BA43" i="2"/>
  <c r="BC43" i="2" s="1"/>
  <c r="BA34" i="2"/>
  <c r="BC34" i="2" s="1"/>
  <c r="BA53" i="2"/>
  <c r="BC53" i="2" s="1"/>
  <c r="BA35" i="2"/>
  <c r="BC35" i="2" s="1"/>
  <c r="BA54" i="2"/>
  <c r="BC54" i="2" s="1"/>
  <c r="BA57" i="2"/>
  <c r="BC57" i="2" s="1"/>
  <c r="BA49" i="2"/>
  <c r="BC49" i="2" s="1"/>
  <c r="BA50" i="2"/>
  <c r="BC50" i="2" s="1"/>
  <c r="BA58" i="2"/>
  <c r="BC58" i="2" s="1"/>
  <c r="BA38" i="2"/>
  <c r="BC38" i="2" s="1"/>
  <c r="BA63" i="2"/>
  <c r="BC63" i="2" s="1"/>
  <c r="BA64" i="2"/>
  <c r="BC64" i="2" s="1"/>
  <c r="BA65" i="2"/>
  <c r="BC65" i="2" s="1"/>
  <c r="BA66" i="2"/>
  <c r="BC66" i="2" s="1"/>
  <c r="BA67" i="2"/>
  <c r="BC67" i="2" s="1"/>
  <c r="BA68" i="2"/>
  <c r="BC68" i="2" s="1"/>
  <c r="BA69" i="2"/>
  <c r="BC69" i="2" s="1"/>
  <c r="BA70" i="2"/>
  <c r="BC70" i="2" s="1"/>
  <c r="BA71" i="2"/>
  <c r="BC71" i="2" s="1"/>
  <c r="BA72" i="2"/>
  <c r="BC72" i="2" s="1"/>
  <c r="BA73" i="2"/>
  <c r="BC73" i="2" s="1"/>
  <c r="BA74" i="2"/>
  <c r="BC74" i="2" s="1"/>
  <c r="BA75" i="2"/>
  <c r="BC75" i="2" s="1"/>
  <c r="BA76" i="2"/>
  <c r="BC76" i="2" s="1"/>
  <c r="BA77" i="2"/>
  <c r="BC77" i="2" s="1"/>
  <c r="BA78" i="2"/>
  <c r="BC78" i="2" s="1"/>
  <c r="BA79" i="2"/>
  <c r="BC79" i="2" s="1"/>
  <c r="BA80" i="2"/>
  <c r="BC80" i="2" s="1"/>
  <c r="BA81" i="2"/>
  <c r="BC81" i="2" s="1"/>
  <c r="BA82" i="2"/>
  <c r="BC82" i="2" s="1"/>
  <c r="BA83" i="2"/>
  <c r="BC83" i="2" s="1"/>
  <c r="BA84" i="2"/>
  <c r="BC84" i="2" s="1"/>
  <c r="BA85" i="2"/>
  <c r="BC85" i="2" s="1"/>
  <c r="BA86" i="2"/>
  <c r="BC86" i="2" s="1"/>
  <c r="BA87" i="2"/>
  <c r="BC87" i="2" s="1"/>
  <c r="BA88" i="2"/>
  <c r="BC88" i="2" s="1"/>
  <c r="BA89" i="2"/>
  <c r="BC89" i="2" s="1"/>
  <c r="BA90" i="2"/>
  <c r="BC90" i="2" s="1"/>
  <c r="BA91" i="2"/>
  <c r="BC91" i="2" s="1"/>
  <c r="BA92" i="2"/>
  <c r="BC92" i="2" s="1"/>
  <c r="BA93" i="2"/>
  <c r="BC93" i="2" s="1"/>
  <c r="BA94" i="2"/>
  <c r="BC94" i="2" s="1"/>
  <c r="BA95" i="2"/>
  <c r="BC95" i="2" s="1"/>
  <c r="BA96" i="2"/>
  <c r="BC96" i="2" s="1"/>
  <c r="BA97" i="2"/>
  <c r="BC97" i="2" s="1"/>
  <c r="BA98" i="2"/>
  <c r="BC98" i="2" s="1"/>
  <c r="BA99" i="2"/>
  <c r="BC99" i="2" s="1"/>
  <c r="BA100" i="2"/>
  <c r="BC100" i="2" s="1"/>
  <c r="BA101" i="2"/>
  <c r="BC101" i="2" s="1"/>
  <c r="BA102" i="2"/>
  <c r="BC102" i="2" s="1"/>
  <c r="BA103" i="2"/>
  <c r="BC103" i="2" s="1"/>
  <c r="BA104" i="2"/>
  <c r="BC104" i="2" s="1"/>
  <c r="BA105" i="2"/>
  <c r="BC105" i="2" s="1"/>
  <c r="BA106" i="2"/>
  <c r="BC106" i="2" s="1"/>
  <c r="BA107" i="2"/>
  <c r="BC107" i="2" s="1"/>
  <c r="BA108" i="2"/>
  <c r="BC108" i="2" s="1"/>
  <c r="BA109" i="2"/>
  <c r="BC109" i="2" s="1"/>
  <c r="BA110" i="2"/>
  <c r="BC110" i="2" s="1"/>
  <c r="BA111" i="2"/>
  <c r="BC111" i="2" s="1"/>
  <c r="BA112" i="2"/>
  <c r="BC112" i="2" s="1"/>
  <c r="BA113" i="2"/>
  <c r="BC113" i="2" s="1"/>
  <c r="BA114" i="2"/>
  <c r="BC114" i="2" s="1"/>
  <c r="BA115" i="2"/>
  <c r="BC115" i="2" s="1"/>
  <c r="BA116" i="2"/>
  <c r="BC116" i="2" s="1"/>
  <c r="BA117" i="2"/>
  <c r="BC117" i="2" s="1"/>
  <c r="BA118" i="2"/>
  <c r="BC118" i="2" s="1"/>
  <c r="BA119" i="2"/>
  <c r="BC119" i="2" s="1"/>
  <c r="BA120" i="2"/>
  <c r="BC120" i="2" s="1"/>
  <c r="BA121" i="2"/>
  <c r="BC121" i="2" s="1"/>
  <c r="BA122" i="2"/>
  <c r="BC122" i="2" s="1"/>
  <c r="BA123" i="2"/>
  <c r="BC123" i="2" s="1"/>
  <c r="BA124" i="2"/>
  <c r="BC124" i="2" s="1"/>
  <c r="BA125" i="2"/>
  <c r="BC125" i="2" s="1"/>
  <c r="BA126" i="2"/>
  <c r="BC126" i="2" s="1"/>
  <c r="BA127" i="2"/>
  <c r="BC127" i="2" s="1"/>
  <c r="BA128" i="2"/>
  <c r="BC128" i="2" s="1"/>
  <c r="BA129" i="2"/>
  <c r="BC129" i="2" s="1"/>
  <c r="BA130" i="2"/>
  <c r="BC130" i="2" s="1"/>
  <c r="BA131" i="2"/>
  <c r="BC131" i="2" s="1"/>
  <c r="BA132" i="2"/>
  <c r="BC132" i="2" s="1"/>
  <c r="BA133" i="2"/>
  <c r="BC133" i="2" s="1"/>
  <c r="BA134" i="2"/>
  <c r="BC134" i="2" s="1"/>
  <c r="J22" i="8"/>
  <c r="B22" i="8"/>
  <c r="J21" i="8"/>
  <c r="B21" i="8"/>
  <c r="J20" i="8"/>
  <c r="B20" i="8"/>
  <c r="J19" i="8"/>
  <c r="B19" i="8"/>
  <c r="J18" i="8"/>
  <c r="BA61" i="2" s="1"/>
  <c r="BC61" i="2" s="1"/>
  <c r="B18" i="8"/>
  <c r="J17" i="8"/>
  <c r="BA21" i="2" s="1"/>
  <c r="BC21" i="2" s="1"/>
  <c r="B17" i="8"/>
  <c r="J16" i="8"/>
  <c r="B16" i="8"/>
  <c r="J15" i="8"/>
  <c r="BA55" i="2" s="1"/>
  <c r="BC55" i="2" s="1"/>
  <c r="B15" i="8"/>
  <c r="J14" i="8"/>
  <c r="B14" i="8"/>
  <c r="J13" i="8"/>
  <c r="BA16" i="2" s="1"/>
  <c r="BC16" i="2" s="1"/>
  <c r="B13" i="8"/>
  <c r="J12" i="8"/>
  <c r="B12" i="8"/>
  <c r="J11" i="8"/>
  <c r="BA12" i="2" s="1"/>
  <c r="BC12" i="2" s="1"/>
  <c r="B11" i="8"/>
  <c r="J10" i="8"/>
  <c r="BA46" i="2" s="1"/>
  <c r="BC46" i="2" s="1"/>
  <c r="B10" i="8"/>
  <c r="J9" i="8"/>
  <c r="BA51" i="2" s="1"/>
  <c r="BC51" i="2" s="1"/>
  <c r="B9" i="8"/>
  <c r="J8" i="8"/>
  <c r="B8" i="8"/>
  <c r="J7" i="8"/>
  <c r="B7" i="8"/>
  <c r="J6" i="8"/>
  <c r="B6" i="8"/>
  <c r="J5" i="8"/>
  <c r="B5" i="8"/>
  <c r="J4" i="8"/>
  <c r="BA15" i="2" s="1"/>
  <c r="BC15" i="2" s="1"/>
  <c r="B4" i="8"/>
  <c r="J3" i="8"/>
  <c r="BA9" i="2" s="1"/>
  <c r="BC9" i="2" s="1"/>
  <c r="B3" i="8"/>
  <c r="J5" i="6"/>
  <c r="J6" i="6"/>
  <c r="AQ125" i="2" s="1"/>
  <c r="AT125" i="2" s="1"/>
  <c r="J7" i="6"/>
  <c r="J8" i="6"/>
  <c r="AQ129" i="2" s="1"/>
  <c r="AS129" i="2" s="1"/>
  <c r="J9" i="6"/>
  <c r="AQ126" i="2" s="1"/>
  <c r="AS126" i="2" s="1"/>
  <c r="J10" i="6"/>
  <c r="J11" i="6"/>
  <c r="J12" i="6"/>
  <c r="J13" i="6"/>
  <c r="J14" i="6"/>
  <c r="AQ54" i="2" s="1"/>
  <c r="AS54" i="2" s="1"/>
  <c r="J15" i="6"/>
  <c r="AQ101" i="2" s="1"/>
  <c r="AS101" i="2" s="1"/>
  <c r="J16" i="6"/>
  <c r="AQ123" i="2" s="1"/>
  <c r="AS123" i="2" s="1"/>
  <c r="J17" i="6"/>
  <c r="AQ113" i="2" s="1"/>
  <c r="AS113" i="2" s="1"/>
  <c r="J18" i="6"/>
  <c r="AR30" i="2"/>
  <c r="AR96" i="2"/>
  <c r="AR74" i="2"/>
  <c r="AR34" i="2"/>
  <c r="AR35" i="2"/>
  <c r="AR49" i="2"/>
  <c r="AR90" i="2"/>
  <c r="AR95" i="2"/>
  <c r="AR126" i="2"/>
  <c r="AR40" i="2"/>
  <c r="AR98" i="2"/>
  <c r="AR110" i="2"/>
  <c r="AR62" i="2"/>
  <c r="AR100" i="2"/>
  <c r="AR117" i="2"/>
  <c r="AR22" i="2"/>
  <c r="AR58" i="2"/>
  <c r="AR51" i="2"/>
  <c r="AR91" i="2"/>
  <c r="AQ31" i="2"/>
  <c r="AT31" i="2" s="1"/>
  <c r="AR31" i="2"/>
  <c r="AR41" i="2"/>
  <c r="AR131" i="2"/>
  <c r="AR92" i="2"/>
  <c r="AR99" i="2"/>
  <c r="AR18" i="2"/>
  <c r="AR76" i="2"/>
  <c r="AR57" i="2"/>
  <c r="AR125" i="2"/>
  <c r="AR44" i="2"/>
  <c r="AR93" i="2"/>
  <c r="AR88" i="2"/>
  <c r="AQ4" i="2"/>
  <c r="AS4" i="2" s="1"/>
  <c r="AR4" i="2"/>
  <c r="AR16" i="2"/>
  <c r="AQ24" i="2"/>
  <c r="AT24" i="2" s="1"/>
  <c r="AR24" i="2"/>
  <c r="AR55" i="2"/>
  <c r="AR9" i="2"/>
  <c r="AR124" i="2"/>
  <c r="AQ60" i="2"/>
  <c r="AS60" i="2" s="1"/>
  <c r="AR60" i="2"/>
  <c r="AR21" i="2"/>
  <c r="AR25" i="2"/>
  <c r="AQ42" i="2"/>
  <c r="AS42" i="2" s="1"/>
  <c r="AR42" i="2"/>
  <c r="AR52" i="2"/>
  <c r="AR56" i="2"/>
  <c r="AQ32" i="2"/>
  <c r="AT32" i="2" s="1"/>
  <c r="AR32" i="2"/>
  <c r="AQ7" i="2"/>
  <c r="AS7" i="2" s="1"/>
  <c r="AR7" i="2"/>
  <c r="AR69" i="2"/>
  <c r="AQ97" i="2"/>
  <c r="AS97" i="2" s="1"/>
  <c r="AR97" i="2"/>
  <c r="AQ23" i="2"/>
  <c r="AS23" i="2" s="1"/>
  <c r="AR23" i="2"/>
  <c r="AQ6" i="2"/>
  <c r="AS6" i="2" s="1"/>
  <c r="AR6" i="2"/>
  <c r="AR29" i="2"/>
  <c r="AR47" i="2"/>
  <c r="AR106" i="2"/>
  <c r="AR132" i="2"/>
  <c r="AR48" i="2"/>
  <c r="AR46" i="2"/>
  <c r="AR101" i="2"/>
  <c r="AR119" i="2"/>
  <c r="AR94" i="2"/>
  <c r="AR134" i="2"/>
  <c r="AR87" i="2"/>
  <c r="AR82" i="2"/>
  <c r="AR107" i="2"/>
  <c r="AQ27" i="2"/>
  <c r="AS27" i="2" s="1"/>
  <c r="AR27" i="2"/>
  <c r="AR10" i="2"/>
  <c r="AR81" i="2"/>
  <c r="AR37" i="2"/>
  <c r="AR84" i="2"/>
  <c r="AQ59" i="2"/>
  <c r="AT59" i="2" s="1"/>
  <c r="AR59" i="2"/>
  <c r="AQ5" i="2"/>
  <c r="AS5" i="2" s="1"/>
  <c r="AR5" i="2"/>
  <c r="AQ28" i="2"/>
  <c r="AS28" i="2" s="1"/>
  <c r="AR28" i="2"/>
  <c r="AR103" i="2"/>
  <c r="AR17" i="2"/>
  <c r="AR83" i="2"/>
  <c r="AQ33" i="2"/>
  <c r="AS33" i="2" s="1"/>
  <c r="AR33" i="2"/>
  <c r="AR108" i="2"/>
  <c r="AR105" i="2"/>
  <c r="AQ19" i="2"/>
  <c r="AS19" i="2" s="1"/>
  <c r="AR19" i="2"/>
  <c r="AR72" i="2"/>
  <c r="AQ14" i="2"/>
  <c r="AS14" i="2" s="1"/>
  <c r="AR14" i="2"/>
  <c r="AR121" i="2"/>
  <c r="AR39" i="2"/>
  <c r="AR115" i="2"/>
  <c r="AR127" i="2"/>
  <c r="AR12" i="2"/>
  <c r="AR116" i="2"/>
  <c r="AR65" i="2"/>
  <c r="AR67" i="2"/>
  <c r="AR104" i="2"/>
  <c r="AQ8" i="2"/>
  <c r="AS8" i="2" s="1"/>
  <c r="AR8" i="2"/>
  <c r="AR38" i="2"/>
  <c r="AR78" i="2"/>
  <c r="AR109" i="2"/>
  <c r="AR50" i="2"/>
  <c r="AR133" i="2"/>
  <c r="AR75" i="2"/>
  <c r="AR53" i="2"/>
  <c r="AQ20" i="2"/>
  <c r="AS20" i="2" s="1"/>
  <c r="AR20" i="2"/>
  <c r="AR102" i="2"/>
  <c r="AQ15" i="2"/>
  <c r="AS15" i="2" s="1"/>
  <c r="AR15" i="2"/>
  <c r="AR112" i="2"/>
  <c r="AR123" i="2"/>
  <c r="AR66" i="2"/>
  <c r="AR118" i="2"/>
  <c r="AR54" i="2"/>
  <c r="AR45" i="2"/>
  <c r="AR114" i="2"/>
  <c r="AR68" i="2"/>
  <c r="AR64" i="2"/>
  <c r="AR113" i="2"/>
  <c r="AR61" i="2"/>
  <c r="AR129" i="2"/>
  <c r="AR120" i="2"/>
  <c r="AQ13" i="2"/>
  <c r="AS13" i="2" s="1"/>
  <c r="AR13" i="2"/>
  <c r="AR89" i="2"/>
  <c r="AR71" i="2"/>
  <c r="AQ26" i="2"/>
  <c r="AS26" i="2" s="1"/>
  <c r="AR26" i="2"/>
  <c r="AR36" i="2"/>
  <c r="AR86" i="2"/>
  <c r="AR111" i="2"/>
  <c r="AR80" i="2"/>
  <c r="AR70" i="2"/>
  <c r="AR122" i="2"/>
  <c r="AR73" i="2"/>
  <c r="AR85" i="2"/>
  <c r="AR43" i="2"/>
  <c r="AR77" i="2"/>
  <c r="AR130" i="2"/>
  <c r="AR63" i="2"/>
  <c r="AR11" i="2"/>
  <c r="AR79" i="2"/>
  <c r="AR128" i="2"/>
  <c r="K22" i="6"/>
  <c r="J22" i="6"/>
  <c r="B22" i="6"/>
  <c r="K21" i="6"/>
  <c r="J21" i="6"/>
  <c r="B21" i="6"/>
  <c r="K20" i="6"/>
  <c r="J20" i="6"/>
  <c r="B20" i="6"/>
  <c r="K19" i="6"/>
  <c r="J19" i="6"/>
  <c r="B19" i="6"/>
  <c r="K18" i="6"/>
  <c r="AQ62" i="2"/>
  <c r="AS62" i="2" s="1"/>
  <c r="B18" i="6"/>
  <c r="K17" i="6"/>
  <c r="B17" i="6"/>
  <c r="K16" i="6"/>
  <c r="B16" i="6"/>
  <c r="K15" i="6"/>
  <c r="B15" i="6"/>
  <c r="K14" i="6"/>
  <c r="B14" i="6"/>
  <c r="K13" i="6"/>
  <c r="AQ22" i="2"/>
  <c r="AS22" i="2" s="1"/>
  <c r="B13" i="6"/>
  <c r="K12" i="6"/>
  <c r="B12" i="6"/>
  <c r="K11" i="6"/>
  <c r="AQ105" i="2"/>
  <c r="AT105" i="2" s="1"/>
  <c r="B11" i="6"/>
  <c r="K10" i="6"/>
  <c r="B10" i="6"/>
  <c r="K9" i="6"/>
  <c r="B9" i="6"/>
  <c r="K8" i="6"/>
  <c r="AQ10" i="2"/>
  <c r="AS10" i="2" s="1"/>
  <c r="B8" i="6"/>
  <c r="K7" i="6"/>
  <c r="B7" i="6"/>
  <c r="K6" i="6"/>
  <c r="B6" i="6"/>
  <c r="K5" i="6"/>
  <c r="B5" i="6"/>
  <c r="K4" i="6"/>
  <c r="J4" i="6"/>
  <c r="AQ124" i="2" s="1"/>
  <c r="AS124" i="2" s="1"/>
  <c r="B4" i="6"/>
  <c r="K3" i="6"/>
  <c r="J3" i="6"/>
  <c r="AQ25" i="2" s="1"/>
  <c r="AS25" i="2" s="1"/>
  <c r="B3" i="6"/>
  <c r="O21" i="8" a="1"/>
  <c r="P19" i="8" a="1"/>
  <c r="L19" i="8" a="1"/>
  <c r="M17" i="8" a="1"/>
  <c r="N15" i="8" a="1"/>
  <c r="O13" i="8" a="1"/>
  <c r="P11" i="8" a="1"/>
  <c r="L11" i="8" a="1"/>
  <c r="M9" i="8" a="1"/>
  <c r="N7" i="8" a="1"/>
  <c r="O5" i="8" a="1"/>
  <c r="P3" i="8" a="1"/>
  <c r="L3" i="8" a="1"/>
  <c r="P22" i="8" a="1"/>
  <c r="L22" i="8" a="1"/>
  <c r="M20" i="8" a="1"/>
  <c r="N18" i="8" a="1"/>
  <c r="O16" i="8" a="1"/>
  <c r="P14" i="8" a="1"/>
  <c r="L14" i="8" a="1"/>
  <c r="M12" i="8" a="1"/>
  <c r="N10" i="8" a="1"/>
  <c r="O8" i="8" a="1"/>
  <c r="P6" i="8" a="1"/>
  <c r="L6" i="8" a="1"/>
  <c r="M4" i="8" a="1"/>
  <c r="P16" i="8" a="1"/>
  <c r="N21" i="8" a="1"/>
  <c r="O19" i="8" a="1"/>
  <c r="P17" i="8" a="1"/>
  <c r="L17" i="8" a="1"/>
  <c r="M15" i="8" a="1"/>
  <c r="N13" i="8" a="1"/>
  <c r="O11" i="8" a="1"/>
  <c r="P9" i="8" a="1"/>
  <c r="L9" i="8" a="1"/>
  <c r="M7" i="8" a="1"/>
  <c r="N5" i="8" a="1"/>
  <c r="O3" i="8" a="1"/>
  <c r="N20" i="8" a="1"/>
  <c r="O10" i="8" a="1"/>
  <c r="L8" i="8" a="1"/>
  <c r="M6" i="8" a="1"/>
  <c r="O22" i="8" a="1"/>
  <c r="P20" i="8" a="1"/>
  <c r="L20" i="8" a="1"/>
  <c r="M18" i="8" a="1"/>
  <c r="N16" i="8" a="1"/>
  <c r="O14" i="8" a="1"/>
  <c r="P12" i="8" a="1"/>
  <c r="L12" i="8" a="1"/>
  <c r="M10" i="8" a="1"/>
  <c r="N8" i="8" a="1"/>
  <c r="O6" i="8" a="1"/>
  <c r="P4" i="8" a="1"/>
  <c r="L4" i="8" a="1"/>
  <c r="M21" i="8" a="1"/>
  <c r="N19" i="8" a="1"/>
  <c r="O17" i="8" a="1"/>
  <c r="P15" i="8" a="1"/>
  <c r="L15" i="8" a="1"/>
  <c r="M13" i="8" a="1"/>
  <c r="N11" i="8" a="1"/>
  <c r="O9" i="8" a="1"/>
  <c r="P7" i="8" a="1"/>
  <c r="L7" i="8" a="1"/>
  <c r="M5" i="8" a="1"/>
  <c r="N3" i="8" a="1"/>
  <c r="L16" i="8" a="1"/>
  <c r="N12" i="8" a="1"/>
  <c r="P8" i="8" a="1"/>
  <c r="N22" i="8" a="1"/>
  <c r="O20" i="8" a="1"/>
  <c r="P18" i="8" a="1"/>
  <c r="L18" i="8" a="1"/>
  <c r="M16" i="8" a="1"/>
  <c r="N14" i="8" a="1"/>
  <c r="O12" i="8" a="1"/>
  <c r="P10" i="8" a="1"/>
  <c r="L10" i="8" a="1"/>
  <c r="M8" i="8" a="1"/>
  <c r="N6" i="8" a="1"/>
  <c r="O4" i="8" a="1"/>
  <c r="M22" i="8" a="1"/>
  <c r="O18" i="8" a="1"/>
  <c r="P21" i="8" a="1"/>
  <c r="L21" i="8" a="1"/>
  <c r="M19" i="8" a="1"/>
  <c r="N17" i="8" a="1"/>
  <c r="O15" i="8" a="1"/>
  <c r="P13" i="8" a="1"/>
  <c r="L13" i="8" a="1"/>
  <c r="M11" i="8" a="1"/>
  <c r="N9" i="8" a="1"/>
  <c r="O7" i="8" a="1"/>
  <c r="P5" i="8" a="1"/>
  <c r="L5" i="8" a="1"/>
  <c r="M3" i="8" a="1"/>
  <c r="M14" i="8" a="1"/>
  <c r="N4" i="8" a="1"/>
  <c r="L12" i="6" a="1"/>
  <c r="N6" i="6" a="1"/>
  <c r="L22" i="6" a="1"/>
  <c r="P3" i="6" a="1"/>
  <c r="O12" i="6" a="1"/>
  <c r="L7" i="6" a="1"/>
  <c r="M7" i="6" a="1"/>
  <c r="N3" i="6" a="1"/>
  <c r="L3" i="6" a="1"/>
  <c r="O17" i="6" a="1"/>
  <c r="N13" i="6" a="1"/>
  <c r="M6" i="6" a="1"/>
  <c r="N4" i="6" a="1"/>
  <c r="P16" i="6" a="1"/>
  <c r="M5" i="6" a="1"/>
  <c r="O4" i="6" a="1"/>
  <c r="M13" i="6" a="1"/>
  <c r="P14" i="6" a="1"/>
  <c r="P8" i="6" a="1"/>
  <c r="L21" i="6" a="1"/>
  <c r="N17" i="6" a="1"/>
  <c r="P20" i="6" a="1"/>
  <c r="P6" i="6" a="1"/>
  <c r="N19" i="6" a="1"/>
  <c r="O21" i="6" a="1"/>
  <c r="P10" i="6" a="1"/>
  <c r="M16" i="6" a="1"/>
  <c r="O19" i="6" a="1"/>
  <c r="N15" i="6" a="1"/>
  <c r="M4" i="6" a="1"/>
  <c r="N11" i="6" a="1"/>
  <c r="N16" i="6" a="1"/>
  <c r="L19" i="6" a="1"/>
  <c r="O3" i="6" a="1"/>
  <c r="M22" i="6" a="1"/>
  <c r="P13" i="6" a="1"/>
  <c r="O11" i="6" a="1"/>
  <c r="L9" i="6" a="1"/>
  <c r="N9" i="6" a="1"/>
  <c r="L16" i="6" a="1"/>
  <c r="M3" i="6" a="1"/>
  <c r="L14" i="6" a="1"/>
  <c r="M14" i="6" a="1"/>
  <c r="O18" i="6" a="1"/>
  <c r="M9" i="6" a="1"/>
  <c r="O10" i="6" a="1"/>
  <c r="M10" i="6" a="1"/>
  <c r="O15" i="6" a="1"/>
  <c r="O13" i="6" a="1"/>
  <c r="P18" i="6" a="1"/>
  <c r="P17" i="6" a="1"/>
  <c r="L10" i="6" a="1"/>
  <c r="O7" i="6" a="1"/>
  <c r="M20" i="6" a="1"/>
  <c r="O8" i="6" a="1"/>
  <c r="O6" i="6" a="1"/>
  <c r="P9" i="6" a="1"/>
  <c r="O22" i="6" a="1"/>
  <c r="N20" i="6" a="1"/>
  <c r="O5" i="6" a="1"/>
  <c r="P5" i="6" a="1"/>
  <c r="O9" i="6" a="1"/>
  <c r="L18" i="6" a="1"/>
  <c r="N22" i="6" a="1"/>
  <c r="L20" i="6" a="1"/>
  <c r="N12" i="6" a="1"/>
  <c r="O16" i="6" a="1"/>
  <c r="M21" i="6" a="1"/>
  <c r="N10" i="6" a="1"/>
  <c r="O20" i="6" a="1"/>
  <c r="M18" i="6" a="1"/>
  <c r="L4" i="6" a="1"/>
  <c r="N18" i="6" a="1"/>
  <c r="P7" i="6" a="1"/>
  <c r="N7" i="6" a="1"/>
  <c r="L8" i="6" a="1"/>
  <c r="L5" i="6" a="1"/>
  <c r="L13" i="6" a="1"/>
  <c r="M15" i="6" a="1"/>
  <c r="N21" i="6" a="1"/>
  <c r="M12" i="6" a="1"/>
  <c r="M11" i="6" a="1"/>
  <c r="P4" i="6" a="1"/>
  <c r="P21" i="6" a="1"/>
  <c r="P11" i="6" a="1"/>
  <c r="M8" i="6" a="1"/>
  <c r="M17" i="6" a="1"/>
  <c r="P22" i="6" a="1"/>
  <c r="L15" i="6" a="1"/>
  <c r="P19" i="6" a="1"/>
  <c r="N5" i="6" a="1"/>
  <c r="P15" i="6" a="1"/>
  <c r="N8" i="6" a="1"/>
  <c r="M19" i="6" a="1"/>
  <c r="L11" i="6" a="1"/>
  <c r="N14" i="6" a="1"/>
  <c r="O14" i="6" a="1"/>
  <c r="P12" i="6" a="1"/>
  <c r="L6" i="6" a="1"/>
  <c r="L17" i="6" a="1"/>
  <c r="BA18" i="2" l="1"/>
  <c r="BC18" i="2" s="1"/>
  <c r="BA17" i="2"/>
  <c r="BC17" i="2" s="1"/>
  <c r="BA19" i="2"/>
  <c r="BC19" i="2" s="1"/>
  <c r="BA13" i="2"/>
  <c r="BC13" i="2" s="1"/>
  <c r="BA56" i="2"/>
  <c r="BC56" i="2" s="1"/>
  <c r="BA24" i="2"/>
  <c r="BC24" i="2" s="1"/>
  <c r="BA8" i="2"/>
  <c r="BC8" i="2" s="1"/>
  <c r="BA7" i="2"/>
  <c r="BC7" i="2" s="1"/>
  <c r="BA4" i="2"/>
  <c r="BC4" i="2" s="1"/>
  <c r="BA5" i="2"/>
  <c r="BC5" i="2" s="1"/>
  <c r="BA10" i="2"/>
  <c r="BC10" i="2" s="1"/>
  <c r="BA6" i="2"/>
  <c r="BC6" i="2" s="1"/>
  <c r="BA14" i="2"/>
  <c r="BC14" i="2" s="1"/>
  <c r="BA23" i="2"/>
  <c r="BC23" i="2" s="1"/>
  <c r="BA22" i="2"/>
  <c r="BC22" i="2" s="1"/>
  <c r="BA41" i="2"/>
  <c r="BC41" i="2" s="1"/>
  <c r="BA59" i="2"/>
  <c r="BC59" i="2" s="1"/>
  <c r="BA44" i="2"/>
  <c r="BC44" i="2" s="1"/>
  <c r="BA52" i="2"/>
  <c r="BC52" i="2" s="1"/>
  <c r="BA62" i="2"/>
  <c r="BC62" i="2" s="1"/>
  <c r="BA36" i="2"/>
  <c r="BC36" i="2" s="1"/>
  <c r="BA40" i="2"/>
  <c r="BC40" i="2" s="1"/>
  <c r="BA11" i="2"/>
  <c r="BC11" i="2" s="1"/>
  <c r="J13" i="3"/>
  <c r="J2" i="3"/>
  <c r="J20" i="3"/>
  <c r="J9" i="3"/>
  <c r="J15" i="3"/>
  <c r="J23" i="3"/>
  <c r="J6" i="3"/>
  <c r="J32" i="3"/>
  <c r="J22" i="3"/>
  <c r="J18" i="3"/>
  <c r="J11" i="3"/>
  <c r="J27" i="3"/>
  <c r="J30" i="3"/>
  <c r="J21" i="3"/>
  <c r="J14" i="3"/>
  <c r="J10" i="3"/>
  <c r="J8" i="3"/>
  <c r="J29" i="3"/>
  <c r="J19" i="3"/>
  <c r="J17" i="3"/>
  <c r="J5" i="3"/>
  <c r="J31" i="3"/>
  <c r="J28" i="3"/>
  <c r="J25" i="3"/>
  <c r="J7" i="3"/>
  <c r="J4" i="3"/>
  <c r="J12" i="3"/>
  <c r="J24" i="3"/>
  <c r="J26" i="3"/>
  <c r="J16" i="3"/>
  <c r="J3" i="3"/>
  <c r="BA48" i="2"/>
  <c r="BC48" i="2" s="1"/>
  <c r="BA47" i="2"/>
  <c r="BC47" i="2" s="1"/>
  <c r="BA45" i="2"/>
  <c r="BC45" i="2" s="1"/>
  <c r="BA37" i="2"/>
  <c r="BC37" i="2" s="1"/>
  <c r="N4" i="8"/>
  <c r="M14" i="8"/>
  <c r="M3" i="8"/>
  <c r="L5" i="8"/>
  <c r="P5" i="8"/>
  <c r="O7" i="8"/>
  <c r="N9" i="8"/>
  <c r="M11" i="8"/>
  <c r="L13" i="8"/>
  <c r="P13" i="8"/>
  <c r="O15" i="8"/>
  <c r="N17" i="8"/>
  <c r="M19" i="8"/>
  <c r="L21" i="8"/>
  <c r="P21" i="8"/>
  <c r="O18" i="8"/>
  <c r="M22" i="8"/>
  <c r="O4" i="8"/>
  <c r="N6" i="8"/>
  <c r="M8" i="8"/>
  <c r="L10" i="8"/>
  <c r="P10" i="8"/>
  <c r="O12" i="8"/>
  <c r="N14" i="8"/>
  <c r="M16" i="8"/>
  <c r="L18" i="8"/>
  <c r="P18" i="8"/>
  <c r="O20" i="8"/>
  <c r="N22" i="8"/>
  <c r="P8" i="8"/>
  <c r="N12" i="8"/>
  <c r="L16" i="8"/>
  <c r="N3" i="8"/>
  <c r="M5" i="8"/>
  <c r="L7" i="8"/>
  <c r="P7" i="8"/>
  <c r="O9" i="8"/>
  <c r="N11" i="8"/>
  <c r="M13" i="8"/>
  <c r="L15" i="8"/>
  <c r="P15" i="8"/>
  <c r="O17" i="8"/>
  <c r="N19" i="8"/>
  <c r="M21" i="8"/>
  <c r="L4" i="8"/>
  <c r="P4" i="8"/>
  <c r="O6" i="8"/>
  <c r="N8" i="8"/>
  <c r="M10" i="8"/>
  <c r="L12" i="8"/>
  <c r="P12" i="8"/>
  <c r="O14" i="8"/>
  <c r="N16" i="8"/>
  <c r="M18" i="8"/>
  <c r="L20" i="8"/>
  <c r="P20" i="8"/>
  <c r="O22" i="8"/>
  <c r="M6" i="8"/>
  <c r="L8" i="8"/>
  <c r="O10" i="8"/>
  <c r="N20" i="8"/>
  <c r="O3" i="8"/>
  <c r="N5" i="8"/>
  <c r="M7" i="8"/>
  <c r="L9" i="8"/>
  <c r="P9" i="8"/>
  <c r="O11" i="8"/>
  <c r="N13" i="8"/>
  <c r="M15" i="8"/>
  <c r="L17" i="8"/>
  <c r="P17" i="8"/>
  <c r="O19" i="8"/>
  <c r="N21" i="8"/>
  <c r="P16" i="8"/>
  <c r="M4" i="8"/>
  <c r="L6" i="8"/>
  <c r="P6" i="8"/>
  <c r="O8" i="8"/>
  <c r="N10" i="8"/>
  <c r="M12" i="8"/>
  <c r="L14" i="8"/>
  <c r="P14" i="8"/>
  <c r="O16" i="8"/>
  <c r="N18" i="8"/>
  <c r="M20" i="8"/>
  <c r="L22" i="8"/>
  <c r="P22" i="8"/>
  <c r="L3" i="8"/>
  <c r="P3" i="8"/>
  <c r="O5" i="8"/>
  <c r="N7" i="8"/>
  <c r="M9" i="8"/>
  <c r="L11" i="8"/>
  <c r="P11" i="8"/>
  <c r="O13" i="8"/>
  <c r="N15" i="8"/>
  <c r="M17" i="8"/>
  <c r="L19" i="8"/>
  <c r="P19" i="8"/>
  <c r="O21" i="8"/>
  <c r="AQ110" i="2"/>
  <c r="AS110" i="2" s="1"/>
  <c r="AQ106" i="2"/>
  <c r="AT106" i="2" s="1"/>
  <c r="AQ9" i="2"/>
  <c r="AT9" i="2" s="1"/>
  <c r="I20" i="3"/>
  <c r="I30" i="3"/>
  <c r="I3" i="3"/>
  <c r="I23" i="3"/>
  <c r="I31" i="3"/>
  <c r="I27" i="3"/>
  <c r="I5" i="3"/>
  <c r="I26" i="3"/>
  <c r="I8" i="3"/>
  <c r="I6" i="3"/>
  <c r="I25" i="3"/>
  <c r="I12" i="3"/>
  <c r="I29" i="3"/>
  <c r="I11" i="3"/>
  <c r="I22" i="3"/>
  <c r="I32" i="3"/>
  <c r="I15" i="3"/>
  <c r="I14" i="3"/>
  <c r="I7" i="3"/>
  <c r="I13" i="3"/>
  <c r="I4" i="3"/>
  <c r="I21" i="3"/>
  <c r="I10" i="3"/>
  <c r="I16" i="3"/>
  <c r="I17" i="3"/>
  <c r="I19" i="3"/>
  <c r="I28" i="3"/>
  <c r="I18" i="3"/>
  <c r="I2" i="3"/>
  <c r="I24" i="3"/>
  <c r="I9" i="3"/>
  <c r="M22" i="6"/>
  <c r="N21" i="6"/>
  <c r="O20" i="6"/>
  <c r="P19" i="6"/>
  <c r="L19" i="6"/>
  <c r="M18" i="6"/>
  <c r="N17" i="6"/>
  <c r="O16" i="6"/>
  <c r="P15" i="6"/>
  <c r="L15" i="6"/>
  <c r="M14" i="6"/>
  <c r="N13" i="6"/>
  <c r="O12" i="6"/>
  <c r="P11" i="6"/>
  <c r="L11" i="6"/>
  <c r="M10" i="6"/>
  <c r="N9" i="6"/>
  <c r="O8" i="6"/>
  <c r="P7" i="6"/>
  <c r="L7" i="6"/>
  <c r="M6" i="6"/>
  <c r="N5" i="6"/>
  <c r="O4" i="6"/>
  <c r="P22" i="6"/>
  <c r="L22" i="6"/>
  <c r="M21" i="6"/>
  <c r="N20" i="6"/>
  <c r="O19" i="6"/>
  <c r="P18" i="6"/>
  <c r="L18" i="6"/>
  <c r="M17" i="6"/>
  <c r="N16" i="6"/>
  <c r="O15" i="6"/>
  <c r="P14" i="6"/>
  <c r="L14" i="6"/>
  <c r="M13" i="6"/>
  <c r="N12" i="6"/>
  <c r="O11" i="6"/>
  <c r="P10" i="6"/>
  <c r="L10" i="6"/>
  <c r="M9" i="6"/>
  <c r="N8" i="6"/>
  <c r="O7" i="6"/>
  <c r="P6" i="6"/>
  <c r="L6" i="6"/>
  <c r="M5" i="6"/>
  <c r="N4" i="6"/>
  <c r="O22" i="6"/>
  <c r="P21" i="6"/>
  <c r="L21" i="6"/>
  <c r="M20" i="6"/>
  <c r="N19" i="6"/>
  <c r="O18" i="6"/>
  <c r="P17" i="6"/>
  <c r="L17" i="6"/>
  <c r="M16" i="6"/>
  <c r="N15" i="6"/>
  <c r="O14" i="6"/>
  <c r="P13" i="6"/>
  <c r="L13" i="6"/>
  <c r="M12" i="6"/>
  <c r="N11" i="6"/>
  <c r="O10" i="6"/>
  <c r="P9" i="6"/>
  <c r="L9" i="6"/>
  <c r="M8" i="6"/>
  <c r="N7" i="6"/>
  <c r="O6" i="6"/>
  <c r="P5" i="6"/>
  <c r="L5" i="6"/>
  <c r="M4" i="6"/>
  <c r="N22" i="6"/>
  <c r="O21" i="6"/>
  <c r="P20" i="6"/>
  <c r="L20" i="6"/>
  <c r="M19" i="6"/>
  <c r="N18" i="6"/>
  <c r="O17" i="6"/>
  <c r="P16" i="6"/>
  <c r="L16" i="6"/>
  <c r="M15" i="6"/>
  <c r="N14" i="6"/>
  <c r="O13" i="6"/>
  <c r="P12" i="6"/>
  <c r="L12" i="6"/>
  <c r="M11" i="6"/>
  <c r="N10" i="6"/>
  <c r="O9" i="6"/>
  <c r="P8" i="6"/>
  <c r="L8" i="6"/>
  <c r="M7" i="6"/>
  <c r="N6" i="6"/>
  <c r="O5" i="6"/>
  <c r="P4" i="6"/>
  <c r="L4" i="6"/>
  <c r="AQ127" i="2"/>
  <c r="AS127" i="2" s="1"/>
  <c r="AQ65" i="2"/>
  <c r="AS65" i="2" s="1"/>
  <c r="AQ44" i="2"/>
  <c r="AS44" i="2" s="1"/>
  <c r="AQ34" i="2"/>
  <c r="AS34" i="2" s="1"/>
  <c r="AQ88" i="2"/>
  <c r="AS88" i="2" s="1"/>
  <c r="AQ79" i="2"/>
  <c r="AS79" i="2" s="1"/>
  <c r="AQ70" i="2"/>
  <c r="AS70" i="2" s="1"/>
  <c r="AQ102" i="2"/>
  <c r="AS102" i="2" s="1"/>
  <c r="AQ50" i="2"/>
  <c r="AS50" i="2" s="1"/>
  <c r="AQ104" i="2"/>
  <c r="AS104" i="2" s="1"/>
  <c r="AQ82" i="2"/>
  <c r="AS82" i="2" s="1"/>
  <c r="AQ39" i="2"/>
  <c r="AS39" i="2" s="1"/>
  <c r="AQ48" i="2"/>
  <c r="AS48" i="2" s="1"/>
  <c r="AQ74" i="2"/>
  <c r="AS74" i="2" s="1"/>
  <c r="AQ68" i="2"/>
  <c r="AS68" i="2" s="1"/>
  <c r="AQ109" i="2"/>
  <c r="AS109" i="2" s="1"/>
  <c r="AQ87" i="2"/>
  <c r="AT87" i="2" s="1"/>
  <c r="AQ43" i="2"/>
  <c r="AS43" i="2" s="1"/>
  <c r="AQ56" i="2"/>
  <c r="AS56" i="2" s="1"/>
  <c r="AQ16" i="2"/>
  <c r="AS16" i="2" s="1"/>
  <c r="AQ100" i="2"/>
  <c r="AS100" i="2" s="1"/>
  <c r="AQ119" i="2"/>
  <c r="AS119" i="2" s="1"/>
  <c r="AQ114" i="2"/>
  <c r="AS114" i="2" s="1"/>
  <c r="AQ53" i="2"/>
  <c r="AS53" i="2" s="1"/>
  <c r="AQ108" i="2"/>
  <c r="AS108" i="2" s="1"/>
  <c r="AQ12" i="2"/>
  <c r="AS12" i="2" s="1"/>
  <c r="AQ47" i="2"/>
  <c r="AS47" i="2" s="1"/>
  <c r="AQ72" i="2"/>
  <c r="AS72" i="2" s="1"/>
  <c r="AQ18" i="2"/>
  <c r="AS18" i="2" s="1"/>
  <c r="AQ122" i="2"/>
  <c r="AS122" i="2" s="1"/>
  <c r="AQ116" i="2"/>
  <c r="AS116" i="2" s="1"/>
  <c r="AQ95" i="2"/>
  <c r="AS95" i="2" s="1"/>
  <c r="AQ64" i="2"/>
  <c r="AS64" i="2" s="1"/>
  <c r="AQ69" i="2"/>
  <c r="AS69" i="2" s="1"/>
  <c r="AQ49" i="2"/>
  <c r="AS49" i="2" s="1"/>
  <c r="AQ83" i="2"/>
  <c r="AS83" i="2" s="1"/>
  <c r="AQ63" i="2"/>
  <c r="AS63" i="2" s="1"/>
  <c r="AQ103" i="2"/>
  <c r="AS103" i="2" s="1"/>
  <c r="AQ71" i="2"/>
  <c r="AS71" i="2" s="1"/>
  <c r="AQ107" i="2"/>
  <c r="AS107" i="2" s="1"/>
  <c r="AQ133" i="2"/>
  <c r="AS133" i="2" s="1"/>
  <c r="AQ128" i="2"/>
  <c r="AS128" i="2" s="1"/>
  <c r="AQ99" i="2"/>
  <c r="AS99" i="2" s="1"/>
  <c r="AQ73" i="2"/>
  <c r="AS73" i="2" s="1"/>
  <c r="AQ76" i="2"/>
  <c r="AS76" i="2" s="1"/>
  <c r="AQ90" i="2"/>
  <c r="AS90" i="2" s="1"/>
  <c r="AQ36" i="2"/>
  <c r="AS36" i="2" s="1"/>
  <c r="AQ134" i="2"/>
  <c r="AS134" i="2" s="1"/>
  <c r="AQ112" i="2"/>
  <c r="AS112" i="2" s="1"/>
  <c r="AQ51" i="2"/>
  <c r="AS51" i="2" s="1"/>
  <c r="AQ98" i="2"/>
  <c r="AS98" i="2" s="1"/>
  <c r="AQ41" i="2"/>
  <c r="AS41" i="2" s="1"/>
  <c r="AQ120" i="2"/>
  <c r="AS120" i="2" s="1"/>
  <c r="AQ46" i="2"/>
  <c r="AT46" i="2" s="1"/>
  <c r="AQ96" i="2"/>
  <c r="AS96" i="2" s="1"/>
  <c r="AQ85" i="2"/>
  <c r="AS85" i="2" s="1"/>
  <c r="AQ111" i="2"/>
  <c r="AS111" i="2" s="1"/>
  <c r="AQ45" i="2"/>
  <c r="AS45" i="2" s="1"/>
  <c r="AQ30" i="2"/>
  <c r="AS30" i="2" s="1"/>
  <c r="AQ57" i="2"/>
  <c r="AS57" i="2" s="1"/>
  <c r="AQ29" i="2"/>
  <c r="AS29" i="2" s="1"/>
  <c r="AQ130" i="2"/>
  <c r="AT130" i="2" s="1"/>
  <c r="AQ67" i="2"/>
  <c r="AS67" i="2" s="1"/>
  <c r="AQ40" i="2"/>
  <c r="AS40" i="2" s="1"/>
  <c r="AQ11" i="2"/>
  <c r="AS11" i="2" s="1"/>
  <c r="AQ121" i="2"/>
  <c r="AS121" i="2" s="1"/>
  <c r="AQ66" i="2"/>
  <c r="AS66" i="2" s="1"/>
  <c r="AQ21" i="2"/>
  <c r="AS21" i="2" s="1"/>
  <c r="AQ58" i="2"/>
  <c r="AS58" i="2" s="1"/>
  <c r="AQ77" i="2"/>
  <c r="AS77" i="2" s="1"/>
  <c r="AQ38" i="2"/>
  <c r="AS38" i="2" s="1"/>
  <c r="AQ80" i="2"/>
  <c r="AS80" i="2" s="1"/>
  <c r="AQ84" i="2"/>
  <c r="AS84" i="2" s="1"/>
  <c r="AQ132" i="2"/>
  <c r="AS132" i="2" s="1"/>
  <c r="AQ92" i="2"/>
  <c r="AT92" i="2" s="1"/>
  <c r="AQ94" i="2"/>
  <c r="AS94" i="2" s="1"/>
  <c r="AQ91" i="2"/>
  <c r="AS91" i="2" s="1"/>
  <c r="AQ118" i="2"/>
  <c r="AS118" i="2" s="1"/>
  <c r="AQ115" i="2"/>
  <c r="AS115" i="2" s="1"/>
  <c r="AQ117" i="2"/>
  <c r="AS117" i="2" s="1"/>
  <c r="AQ35" i="2"/>
  <c r="AS35" i="2" s="1"/>
  <c r="AQ17" i="2"/>
  <c r="AS17" i="2" s="1"/>
  <c r="AQ55" i="2"/>
  <c r="AS55" i="2" s="1"/>
  <c r="AQ52" i="2"/>
  <c r="AS52" i="2" s="1"/>
  <c r="AQ93" i="2"/>
  <c r="AS93" i="2" s="1"/>
  <c r="AQ75" i="2"/>
  <c r="AS75" i="2" s="1"/>
  <c r="AQ78" i="2"/>
  <c r="AS78" i="2" s="1"/>
  <c r="AQ86" i="2"/>
  <c r="AS86" i="2" s="1"/>
  <c r="AQ89" i="2"/>
  <c r="AS89" i="2" s="1"/>
  <c r="AQ61" i="2"/>
  <c r="AS61" i="2" s="1"/>
  <c r="AQ37" i="2"/>
  <c r="AS37" i="2" s="1"/>
  <c r="AQ131" i="2"/>
  <c r="AS131" i="2" s="1"/>
  <c r="AQ81" i="2"/>
  <c r="AS81" i="2" s="1"/>
  <c r="AT19" i="2"/>
  <c r="AS24" i="2"/>
  <c r="AS125" i="2"/>
  <c r="AT123" i="2"/>
  <c r="AS9" i="2"/>
  <c r="AT62" i="2"/>
  <c r="AT27" i="2"/>
  <c r="AS105" i="2"/>
  <c r="AT7" i="2"/>
  <c r="AT110" i="2"/>
  <c r="AS59" i="2"/>
  <c r="AT113" i="2"/>
  <c r="AT26" i="2"/>
  <c r="AT129" i="2"/>
  <c r="AT14" i="2"/>
  <c r="AT97" i="2"/>
  <c r="AS31" i="2"/>
  <c r="AT33" i="2"/>
  <c r="AT5" i="2"/>
  <c r="AS106" i="2"/>
  <c r="AT124" i="2"/>
  <c r="AS32" i="2"/>
  <c r="AT34" i="2"/>
  <c r="AT54" i="2"/>
  <c r="AT10" i="2"/>
  <c r="AT101" i="2"/>
  <c r="AT23" i="2"/>
  <c r="AT25" i="2"/>
  <c r="AT4" i="2"/>
  <c r="AT22" i="2"/>
  <c r="AT15" i="2"/>
  <c r="AT28" i="2"/>
  <c r="AT60" i="2"/>
  <c r="AT20" i="2"/>
  <c r="AT8" i="2"/>
  <c r="AT6" i="2"/>
  <c r="AT42" i="2"/>
  <c r="AT126" i="2"/>
  <c r="AT13" i="2"/>
  <c r="P3" i="6"/>
  <c r="N3" i="6"/>
  <c r="M3" i="6"/>
  <c r="L3" i="6"/>
  <c r="O3" i="6"/>
  <c r="AT71" i="2" l="1"/>
  <c r="AT50" i="2"/>
  <c r="AT127" i="2"/>
  <c r="AT68" i="2"/>
  <c r="AT114" i="2"/>
  <c r="AT116" i="2"/>
  <c r="AT44" i="2"/>
  <c r="AT65" i="2"/>
  <c r="AT79" i="2"/>
  <c r="AT88" i="2"/>
  <c r="AT102" i="2"/>
  <c r="AT53" i="2"/>
  <c r="AT117" i="2"/>
  <c r="AT109" i="2"/>
  <c r="AT69" i="2"/>
  <c r="AS87" i="2"/>
  <c r="AT64" i="2"/>
  <c r="AT133" i="2"/>
  <c r="AT108" i="2"/>
  <c r="AT104" i="2"/>
  <c r="AT12" i="2"/>
  <c r="AT82" i="2"/>
  <c r="AT56" i="2"/>
  <c r="AT47" i="2"/>
  <c r="AT40" i="2"/>
  <c r="AT70" i="2"/>
  <c r="AT43" i="2"/>
  <c r="AT100" i="2"/>
  <c r="AT18" i="2"/>
  <c r="AT48" i="2"/>
  <c r="AT16" i="2"/>
  <c r="AT74" i="2"/>
  <c r="AT119" i="2"/>
  <c r="AT39" i="2"/>
  <c r="AT72" i="2"/>
  <c r="AT83" i="2"/>
  <c r="AT122" i="2"/>
  <c r="AT128" i="2"/>
  <c r="AT103" i="2"/>
  <c r="AT49" i="2"/>
  <c r="AT85" i="2"/>
  <c r="AT95" i="2"/>
  <c r="AT63" i="2"/>
  <c r="AT99" i="2"/>
  <c r="AT73" i="2"/>
  <c r="AT134" i="2"/>
  <c r="AT107" i="2"/>
  <c r="AT36" i="2"/>
  <c r="AT90" i="2"/>
  <c r="AT80" i="2"/>
  <c r="AT98" i="2"/>
  <c r="AT66" i="2"/>
  <c r="AT51" i="2"/>
  <c r="AT76" i="2"/>
  <c r="AT112" i="2"/>
  <c r="AT75" i="2"/>
  <c r="AS46" i="2"/>
  <c r="AT118" i="2"/>
  <c r="AS130" i="2"/>
  <c r="AT77" i="2"/>
  <c r="AT120" i="2"/>
  <c r="AT41" i="2"/>
  <c r="AT96" i="2"/>
  <c r="AT67" i="2"/>
  <c r="AT58" i="2"/>
  <c r="AT29" i="2"/>
  <c r="AT91" i="2"/>
  <c r="AT30" i="2"/>
  <c r="AT11" i="2"/>
  <c r="AT111" i="2"/>
  <c r="AT93" i="2"/>
  <c r="AT45" i="2"/>
  <c r="AT57" i="2"/>
  <c r="AT86" i="2"/>
  <c r="AT132" i="2"/>
  <c r="AT61" i="2"/>
  <c r="AT121" i="2"/>
  <c r="AT21" i="2"/>
  <c r="AT78" i="2"/>
  <c r="AT115" i="2"/>
  <c r="AT38" i="2"/>
  <c r="AT84" i="2"/>
  <c r="AT94" i="2"/>
  <c r="AT52" i="2"/>
  <c r="AS92" i="2"/>
  <c r="AT37" i="2"/>
  <c r="AT17" i="2"/>
  <c r="AT35" i="2"/>
  <c r="AT55" i="2"/>
  <c r="AT81" i="2"/>
  <c r="AT131" i="2"/>
  <c r="AT89" i="2"/>
  <c r="M43" i="5" a="1"/>
  <c r="M43" i="5" s="1"/>
  <c r="G43" i="5"/>
  <c r="H43" i="5" s="1"/>
  <c r="E43" i="5"/>
  <c r="G24" i="5"/>
  <c r="H24" i="5" s="1"/>
  <c r="E24" i="5"/>
  <c r="U49" i="2"/>
  <c r="U90" i="2"/>
  <c r="U95" i="2"/>
  <c r="U126" i="2"/>
  <c r="U40" i="2"/>
  <c r="U98" i="2"/>
  <c r="U110" i="2"/>
  <c r="U62" i="2"/>
  <c r="U100" i="2"/>
  <c r="U117" i="2"/>
  <c r="U22" i="2"/>
  <c r="U58" i="2"/>
  <c r="U51" i="2"/>
  <c r="U91" i="2"/>
  <c r="U31" i="2"/>
  <c r="U41" i="2"/>
  <c r="U131" i="2"/>
  <c r="U92" i="2"/>
  <c r="U99" i="2"/>
  <c r="U18" i="2"/>
  <c r="U76" i="2"/>
  <c r="U57" i="2"/>
  <c r="U125" i="2"/>
  <c r="U44" i="2"/>
  <c r="U93" i="2"/>
  <c r="U88" i="2"/>
  <c r="U4" i="2"/>
  <c r="U16" i="2"/>
  <c r="U24" i="2"/>
  <c r="U55" i="2"/>
  <c r="U9" i="2"/>
  <c r="U124" i="2"/>
  <c r="U60" i="2"/>
  <c r="U21" i="2"/>
  <c r="U25" i="2"/>
  <c r="U42" i="2"/>
  <c r="U52" i="2"/>
  <c r="U56" i="2"/>
  <c r="U32" i="2"/>
  <c r="U7" i="2"/>
  <c r="U69" i="2"/>
  <c r="U97" i="2"/>
  <c r="U23" i="2"/>
  <c r="U6" i="2"/>
  <c r="U29" i="2"/>
  <c r="U47" i="2"/>
  <c r="U106" i="2"/>
  <c r="U132" i="2"/>
  <c r="U48" i="2"/>
  <c r="U46" i="2"/>
  <c r="U101" i="2"/>
  <c r="U119" i="2"/>
  <c r="U94" i="2"/>
  <c r="U134" i="2"/>
  <c r="U87" i="2"/>
  <c r="U82" i="2"/>
  <c r="U107" i="2"/>
  <c r="U27" i="2"/>
  <c r="U10" i="2"/>
  <c r="U81" i="2"/>
  <c r="U37" i="2"/>
  <c r="U84" i="2"/>
  <c r="U59" i="2"/>
  <c r="U5" i="2"/>
  <c r="U28" i="2"/>
  <c r="U103" i="2"/>
  <c r="U17" i="2"/>
  <c r="U83" i="2"/>
  <c r="U33" i="2"/>
  <c r="U108" i="2"/>
  <c r="U105" i="2"/>
  <c r="U19" i="2"/>
  <c r="U72" i="2"/>
  <c r="U14" i="2"/>
  <c r="U121" i="2"/>
  <c r="U39" i="2"/>
  <c r="U115" i="2"/>
  <c r="U127" i="2"/>
  <c r="U12" i="2"/>
  <c r="U116" i="2"/>
  <c r="U65" i="2"/>
  <c r="U67" i="2"/>
  <c r="U104" i="2"/>
  <c r="U8" i="2"/>
  <c r="U38" i="2"/>
  <c r="U78" i="2"/>
  <c r="U109" i="2"/>
  <c r="U50" i="2"/>
  <c r="U133" i="2"/>
  <c r="U75" i="2"/>
  <c r="U53" i="2"/>
  <c r="U20" i="2"/>
  <c r="U102" i="2"/>
  <c r="U15" i="2"/>
  <c r="U112" i="2"/>
  <c r="U123" i="2"/>
  <c r="U66" i="2"/>
  <c r="U118" i="2"/>
  <c r="U54" i="2"/>
  <c r="U45" i="2"/>
  <c r="U114" i="2"/>
  <c r="U68" i="2"/>
  <c r="U64" i="2"/>
  <c r="U113" i="2"/>
  <c r="U61" i="2"/>
  <c r="U129" i="2"/>
  <c r="U120" i="2"/>
  <c r="U13" i="2"/>
  <c r="U89" i="2"/>
  <c r="U71" i="2"/>
  <c r="U26" i="2"/>
  <c r="U36" i="2"/>
  <c r="U86" i="2"/>
  <c r="U111" i="2"/>
  <c r="U80" i="2"/>
  <c r="U70" i="2"/>
  <c r="U122" i="2"/>
  <c r="U73" i="2"/>
  <c r="U85" i="2"/>
  <c r="U43" i="2"/>
  <c r="U77" i="2"/>
  <c r="U130" i="2"/>
  <c r="U63" i="2"/>
  <c r="U11" i="2"/>
  <c r="U79" i="2"/>
  <c r="U128" i="2"/>
  <c r="U96" i="2"/>
  <c r="U74" i="2"/>
  <c r="U34" i="2"/>
  <c r="U35" i="2"/>
  <c r="U30" i="2"/>
  <c r="G42" i="5"/>
  <c r="H42" i="5" s="1"/>
  <c r="E42" i="5"/>
  <c r="A42" i="5" s="1"/>
  <c r="G41" i="5"/>
  <c r="H41" i="5" s="1"/>
  <c r="E41" i="5"/>
  <c r="N41" i="5" s="1" a="1"/>
  <c r="N41" i="5" s="1"/>
  <c r="G40" i="5"/>
  <c r="H40" i="5" s="1"/>
  <c r="E40" i="5"/>
  <c r="G39" i="5"/>
  <c r="H39" i="5" s="1"/>
  <c r="E39" i="5"/>
  <c r="A39" i="5" s="1"/>
  <c r="G38" i="5"/>
  <c r="H38" i="5" s="1"/>
  <c r="E38" i="5"/>
  <c r="M38" i="5" s="1" a="1"/>
  <c r="M38" i="5" s="1"/>
  <c r="G37" i="5"/>
  <c r="H37" i="5" s="1"/>
  <c r="E37" i="5"/>
  <c r="M37" i="5" s="1" a="1"/>
  <c r="M37" i="5" s="1"/>
  <c r="G36" i="5"/>
  <c r="H36" i="5" s="1"/>
  <c r="E36" i="5"/>
  <c r="A36" i="5" s="1"/>
  <c r="G35" i="5"/>
  <c r="H35" i="5" s="1"/>
  <c r="E35" i="5"/>
  <c r="A35" i="5" s="1"/>
  <c r="G34" i="5"/>
  <c r="H34" i="5" s="1"/>
  <c r="E34" i="5"/>
  <c r="A34" i="5" s="1"/>
  <c r="G33" i="5"/>
  <c r="H33" i="5" s="1"/>
  <c r="E33" i="5"/>
  <c r="A33" i="5" s="1"/>
  <c r="G48" i="5"/>
  <c r="H48" i="5" s="1"/>
  <c r="E48" i="5"/>
  <c r="M48" i="5" s="1" a="1"/>
  <c r="M48" i="5" s="1"/>
  <c r="G31" i="5"/>
  <c r="H31" i="5" s="1"/>
  <c r="E31" i="5"/>
  <c r="M31" i="5" s="1" a="1"/>
  <c r="M31" i="5" s="1"/>
  <c r="G30" i="5"/>
  <c r="H30" i="5" s="1"/>
  <c r="E30" i="5"/>
  <c r="N30" i="5" s="1" a="1"/>
  <c r="N30" i="5" s="1"/>
  <c r="G29" i="5"/>
  <c r="H29" i="5" s="1"/>
  <c r="E29" i="5"/>
  <c r="G28" i="5"/>
  <c r="H28" i="5" s="1"/>
  <c r="E28" i="5"/>
  <c r="A28" i="5" s="1"/>
  <c r="G27" i="5"/>
  <c r="H27" i="5" s="1"/>
  <c r="E27" i="5"/>
  <c r="A27" i="5" s="1"/>
  <c r="G26" i="5"/>
  <c r="H26" i="5" s="1"/>
  <c r="E26" i="5"/>
  <c r="A26" i="5" s="1"/>
  <c r="G25" i="5"/>
  <c r="H25" i="5" s="1"/>
  <c r="E25" i="5"/>
  <c r="M25" i="5" s="1" a="1"/>
  <c r="M25" i="5" s="1"/>
  <c r="G32" i="5"/>
  <c r="H32" i="5" s="1"/>
  <c r="E32" i="5"/>
  <c r="N32" i="5" s="1" a="1"/>
  <c r="N32" i="5" s="1"/>
  <c r="G23" i="5"/>
  <c r="H23" i="5" s="1"/>
  <c r="E23" i="5"/>
  <c r="M23" i="5" s="1" a="1"/>
  <c r="M23" i="5" s="1"/>
  <c r="G22" i="5"/>
  <c r="H22" i="5" s="1"/>
  <c r="E22" i="5"/>
  <c r="G21" i="5"/>
  <c r="H21" i="5" s="1"/>
  <c r="E21" i="5"/>
  <c r="N21" i="5" s="1" a="1"/>
  <c r="N21" i="5" s="1"/>
  <c r="G20" i="5"/>
  <c r="H20" i="5" s="1"/>
  <c r="E20" i="5"/>
  <c r="A20" i="5" s="1"/>
  <c r="G19" i="5"/>
  <c r="H19" i="5" s="1"/>
  <c r="E19" i="5"/>
  <c r="N19" i="5" s="1" a="1"/>
  <c r="N19" i="5" s="1"/>
  <c r="G18" i="5"/>
  <c r="H18" i="5" s="1"/>
  <c r="E18" i="5"/>
  <c r="A18" i="5" s="1"/>
  <c r="G17" i="5"/>
  <c r="H17" i="5" s="1"/>
  <c r="E17" i="5"/>
  <c r="A17" i="5" s="1"/>
  <c r="G14" i="5"/>
  <c r="H14" i="5" s="1"/>
  <c r="E14" i="5"/>
  <c r="M14" i="5" s="1" a="1"/>
  <c r="M14" i="5" s="1"/>
  <c r="G16" i="5"/>
  <c r="H16" i="5" s="1"/>
  <c r="E16" i="5"/>
  <c r="M16" i="5" s="1" a="1"/>
  <c r="M16" i="5" s="1"/>
  <c r="G15" i="5"/>
  <c r="H15" i="5" s="1"/>
  <c r="E15" i="5"/>
  <c r="N15" i="5" s="1" a="1"/>
  <c r="N15" i="5" s="1"/>
  <c r="G13" i="5"/>
  <c r="H13" i="5" s="1"/>
  <c r="E13" i="5"/>
  <c r="N13" i="5" s="1" a="1"/>
  <c r="N13" i="5" s="1"/>
  <c r="G12" i="5"/>
  <c r="H12" i="5" s="1"/>
  <c r="E12" i="5"/>
  <c r="A12" i="5" s="1"/>
  <c r="G11" i="5"/>
  <c r="H11" i="5" s="1"/>
  <c r="E11" i="5"/>
  <c r="N11" i="5" s="1" a="1"/>
  <c r="N11" i="5" s="1"/>
  <c r="G47" i="5"/>
  <c r="H47" i="5" s="1"/>
  <c r="E47" i="5"/>
  <c r="G10" i="5"/>
  <c r="H10" i="5" s="1"/>
  <c r="E10" i="5"/>
  <c r="A10" i="5" s="1"/>
  <c r="G9" i="5"/>
  <c r="H9" i="5" s="1"/>
  <c r="E9" i="5"/>
  <c r="N9" i="5" s="1" a="1"/>
  <c r="N9" i="5" s="1"/>
  <c r="G45" i="5"/>
  <c r="H45" i="5" s="1"/>
  <c r="E45" i="5"/>
  <c r="M45" i="5" s="1" a="1"/>
  <c r="M45" i="5" s="1"/>
  <c r="G8" i="5"/>
  <c r="H8" i="5" s="1"/>
  <c r="E8" i="5"/>
  <c r="N8" i="5" s="1" a="1"/>
  <c r="N8" i="5" s="1"/>
  <c r="G7" i="5"/>
  <c r="H7" i="5" s="1"/>
  <c r="E7" i="5"/>
  <c r="N7" i="5" s="1" a="1"/>
  <c r="N7" i="5" s="1"/>
  <c r="G46" i="5"/>
  <c r="H46" i="5" s="1"/>
  <c r="E46" i="5"/>
  <c r="G6" i="5"/>
  <c r="H6" i="5" s="1"/>
  <c r="E6" i="5"/>
  <c r="G5" i="5"/>
  <c r="H5" i="5" s="1"/>
  <c r="E5" i="5"/>
  <c r="G44" i="5"/>
  <c r="H44" i="5" s="1"/>
  <c r="E44" i="5"/>
  <c r="A44" i="5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AA49" i="2"/>
  <c r="AA90" i="2"/>
  <c r="AA95" i="2"/>
  <c r="AA126" i="2"/>
  <c r="AA40" i="2"/>
  <c r="AA98" i="2"/>
  <c r="AA110" i="2"/>
  <c r="AA62" i="2"/>
  <c r="AA100" i="2"/>
  <c r="AA117" i="2"/>
  <c r="AA22" i="2"/>
  <c r="AA58" i="2"/>
  <c r="AA51" i="2"/>
  <c r="AA91" i="2"/>
  <c r="AA31" i="2"/>
  <c r="AA41" i="2"/>
  <c r="AA131" i="2"/>
  <c r="AA92" i="2"/>
  <c r="AA99" i="2"/>
  <c r="AA18" i="2"/>
  <c r="AA76" i="2"/>
  <c r="AA57" i="2"/>
  <c r="AA125" i="2"/>
  <c r="AA44" i="2"/>
  <c r="AA93" i="2"/>
  <c r="AA88" i="2"/>
  <c r="AA4" i="2"/>
  <c r="AA16" i="2"/>
  <c r="AA24" i="2"/>
  <c r="AA55" i="2"/>
  <c r="AA9" i="2"/>
  <c r="AA124" i="2"/>
  <c r="AA60" i="2"/>
  <c r="AA21" i="2"/>
  <c r="AA25" i="2"/>
  <c r="AA42" i="2"/>
  <c r="AA52" i="2"/>
  <c r="AA56" i="2"/>
  <c r="AA32" i="2"/>
  <c r="AA7" i="2"/>
  <c r="AA69" i="2"/>
  <c r="AA97" i="2"/>
  <c r="AA23" i="2"/>
  <c r="AA6" i="2"/>
  <c r="AA29" i="2"/>
  <c r="AA47" i="2"/>
  <c r="AA106" i="2"/>
  <c r="AA132" i="2"/>
  <c r="AA48" i="2"/>
  <c r="AA46" i="2"/>
  <c r="AA101" i="2"/>
  <c r="AA119" i="2"/>
  <c r="AA94" i="2"/>
  <c r="AA134" i="2"/>
  <c r="AA87" i="2"/>
  <c r="AA82" i="2"/>
  <c r="AA107" i="2"/>
  <c r="AA27" i="2"/>
  <c r="AA10" i="2"/>
  <c r="AA81" i="2"/>
  <c r="AA37" i="2"/>
  <c r="AA84" i="2"/>
  <c r="AA59" i="2"/>
  <c r="AA5" i="2"/>
  <c r="AA28" i="2"/>
  <c r="AA103" i="2"/>
  <c r="AA17" i="2"/>
  <c r="AA83" i="2"/>
  <c r="AA33" i="2"/>
  <c r="AA108" i="2"/>
  <c r="AA105" i="2"/>
  <c r="AA19" i="2"/>
  <c r="AA72" i="2"/>
  <c r="AA14" i="2"/>
  <c r="AA121" i="2"/>
  <c r="AA39" i="2"/>
  <c r="AA115" i="2"/>
  <c r="AA127" i="2"/>
  <c r="AA12" i="2"/>
  <c r="AA116" i="2"/>
  <c r="AA65" i="2"/>
  <c r="AA67" i="2"/>
  <c r="AA104" i="2"/>
  <c r="AA8" i="2"/>
  <c r="AA38" i="2"/>
  <c r="AA78" i="2"/>
  <c r="AA109" i="2"/>
  <c r="AA50" i="2"/>
  <c r="AA133" i="2"/>
  <c r="AA75" i="2"/>
  <c r="AA53" i="2"/>
  <c r="AA20" i="2"/>
  <c r="AA102" i="2"/>
  <c r="AA15" i="2"/>
  <c r="AA112" i="2"/>
  <c r="AA123" i="2"/>
  <c r="AA66" i="2"/>
  <c r="AA118" i="2"/>
  <c r="AA54" i="2"/>
  <c r="AA45" i="2"/>
  <c r="AA114" i="2"/>
  <c r="AA68" i="2"/>
  <c r="AA64" i="2"/>
  <c r="AA113" i="2"/>
  <c r="AA61" i="2"/>
  <c r="AA129" i="2"/>
  <c r="AA120" i="2"/>
  <c r="AA13" i="2"/>
  <c r="AA89" i="2"/>
  <c r="AA71" i="2"/>
  <c r="AA26" i="2"/>
  <c r="AA36" i="2"/>
  <c r="AA86" i="2"/>
  <c r="AA111" i="2"/>
  <c r="AA80" i="2"/>
  <c r="AA70" i="2"/>
  <c r="AA122" i="2"/>
  <c r="AA73" i="2"/>
  <c r="AA85" i="2"/>
  <c r="AA43" i="2"/>
  <c r="AA77" i="2"/>
  <c r="AA130" i="2"/>
  <c r="AA63" i="2"/>
  <c r="AA11" i="2"/>
  <c r="AA79" i="2"/>
  <c r="AA128" i="2"/>
  <c r="AA96" i="2"/>
  <c r="AA74" i="2"/>
  <c r="AA34" i="2"/>
  <c r="AA35" i="2"/>
  <c r="AA30" i="2"/>
  <c r="S30" i="2"/>
  <c r="S49" i="2"/>
  <c r="S90" i="2"/>
  <c r="S95" i="2"/>
  <c r="S126" i="2"/>
  <c r="S40" i="2"/>
  <c r="S98" i="2"/>
  <c r="S110" i="2"/>
  <c r="S62" i="2"/>
  <c r="S100" i="2"/>
  <c r="S117" i="2"/>
  <c r="S22" i="2"/>
  <c r="S58" i="2"/>
  <c r="S51" i="2"/>
  <c r="S91" i="2"/>
  <c r="S31" i="2"/>
  <c r="S41" i="2"/>
  <c r="S131" i="2"/>
  <c r="S92" i="2"/>
  <c r="S99" i="2"/>
  <c r="S18" i="2"/>
  <c r="S76" i="2"/>
  <c r="S57" i="2"/>
  <c r="S125" i="2"/>
  <c r="S44" i="2"/>
  <c r="S93" i="2"/>
  <c r="S88" i="2"/>
  <c r="S4" i="2"/>
  <c r="S16" i="2"/>
  <c r="S24" i="2"/>
  <c r="S55" i="2"/>
  <c r="S9" i="2"/>
  <c r="S124" i="2"/>
  <c r="S60" i="2"/>
  <c r="S21" i="2"/>
  <c r="S25" i="2"/>
  <c r="S42" i="2"/>
  <c r="S52" i="2"/>
  <c r="S56" i="2"/>
  <c r="S32" i="2"/>
  <c r="S7" i="2"/>
  <c r="S69" i="2"/>
  <c r="S97" i="2"/>
  <c r="S23" i="2"/>
  <c r="S6" i="2"/>
  <c r="S29" i="2"/>
  <c r="S47" i="2"/>
  <c r="S106" i="2"/>
  <c r="S132" i="2"/>
  <c r="S48" i="2"/>
  <c r="S46" i="2"/>
  <c r="S101" i="2"/>
  <c r="S119" i="2"/>
  <c r="S94" i="2"/>
  <c r="S134" i="2"/>
  <c r="S87" i="2"/>
  <c r="S82" i="2"/>
  <c r="S107" i="2"/>
  <c r="S27" i="2"/>
  <c r="S10" i="2"/>
  <c r="S81" i="2"/>
  <c r="S37" i="2"/>
  <c r="S84" i="2"/>
  <c r="S59" i="2"/>
  <c r="S5" i="2"/>
  <c r="S28" i="2"/>
  <c r="S103" i="2"/>
  <c r="S17" i="2"/>
  <c r="S83" i="2"/>
  <c r="S33" i="2"/>
  <c r="S108" i="2"/>
  <c r="S105" i="2"/>
  <c r="S19" i="2"/>
  <c r="S72" i="2"/>
  <c r="S14" i="2"/>
  <c r="S121" i="2"/>
  <c r="S39" i="2"/>
  <c r="S115" i="2"/>
  <c r="S127" i="2"/>
  <c r="S12" i="2"/>
  <c r="S116" i="2"/>
  <c r="S65" i="2"/>
  <c r="S67" i="2"/>
  <c r="S104" i="2"/>
  <c r="S8" i="2"/>
  <c r="S38" i="2"/>
  <c r="S78" i="2"/>
  <c r="S109" i="2"/>
  <c r="S50" i="2"/>
  <c r="S133" i="2"/>
  <c r="S75" i="2"/>
  <c r="S53" i="2"/>
  <c r="S20" i="2"/>
  <c r="S102" i="2"/>
  <c r="S15" i="2"/>
  <c r="S112" i="2"/>
  <c r="S123" i="2"/>
  <c r="S66" i="2"/>
  <c r="S118" i="2"/>
  <c r="S54" i="2"/>
  <c r="S45" i="2"/>
  <c r="S114" i="2"/>
  <c r="S68" i="2"/>
  <c r="S64" i="2"/>
  <c r="S113" i="2"/>
  <c r="S61" i="2"/>
  <c r="S129" i="2"/>
  <c r="S120" i="2"/>
  <c r="S13" i="2"/>
  <c r="S89" i="2"/>
  <c r="S71" i="2"/>
  <c r="S26" i="2"/>
  <c r="S36" i="2"/>
  <c r="S86" i="2"/>
  <c r="S111" i="2"/>
  <c r="S80" i="2"/>
  <c r="S70" i="2"/>
  <c r="S122" i="2"/>
  <c r="S73" i="2"/>
  <c r="S85" i="2"/>
  <c r="S43" i="2"/>
  <c r="S77" i="2"/>
  <c r="S130" i="2"/>
  <c r="S63" i="2"/>
  <c r="S11" i="2"/>
  <c r="S79" i="2"/>
  <c r="S128" i="2"/>
  <c r="S96" i="2"/>
  <c r="S74" i="2"/>
  <c r="S34" i="2"/>
  <c r="S35" i="2"/>
  <c r="E48" i="4"/>
  <c r="A48" i="4" s="1"/>
  <c r="L48" i="4" s="1"/>
  <c r="E47" i="4"/>
  <c r="A47" i="4" s="1"/>
  <c r="L47" i="4" s="1"/>
  <c r="E46" i="4"/>
  <c r="A46" i="4" s="1"/>
  <c r="L46" i="4" s="1"/>
  <c r="E45" i="4"/>
  <c r="M45" i="4" s="1" a="1"/>
  <c r="M45" i="4" s="1"/>
  <c r="E44" i="4"/>
  <c r="M44" i="4" s="1" a="1"/>
  <c r="M44" i="4" s="1"/>
  <c r="E43" i="4"/>
  <c r="A43" i="4" s="1"/>
  <c r="L43" i="4" s="1"/>
  <c r="E42" i="4"/>
  <c r="A42" i="4" s="1"/>
  <c r="L42" i="4" s="1"/>
  <c r="E41" i="4"/>
  <c r="N41" i="4" s="1" a="1"/>
  <c r="N41" i="4" s="1"/>
  <c r="E40" i="4"/>
  <c r="A40" i="4" s="1"/>
  <c r="L40" i="4" s="1"/>
  <c r="E39" i="4"/>
  <c r="A39" i="4" s="1"/>
  <c r="L39" i="4" s="1"/>
  <c r="E38" i="4"/>
  <c r="A38" i="4" s="1"/>
  <c r="L38" i="4" s="1"/>
  <c r="E37" i="4"/>
  <c r="M37" i="4" s="1" a="1"/>
  <c r="M37" i="4" s="1"/>
  <c r="E36" i="4"/>
  <c r="M36" i="4" s="1" a="1"/>
  <c r="M36" i="4" s="1"/>
  <c r="E35" i="4"/>
  <c r="N35" i="4" s="1" a="1"/>
  <c r="N35" i="4" s="1"/>
  <c r="E34" i="4"/>
  <c r="N34" i="4" s="1" a="1"/>
  <c r="N34" i="4" s="1"/>
  <c r="E33" i="4"/>
  <c r="N33" i="4" s="1" a="1"/>
  <c r="N33" i="4" s="1"/>
  <c r="E32" i="4"/>
  <c r="N32" i="4" s="1" a="1"/>
  <c r="N32" i="4" s="1"/>
  <c r="E31" i="4"/>
  <c r="A31" i="4" s="1"/>
  <c r="L31" i="4" s="1"/>
  <c r="E30" i="4"/>
  <c r="A30" i="4" s="1"/>
  <c r="L30" i="4" s="1"/>
  <c r="E29" i="4"/>
  <c r="A29" i="4" s="1"/>
  <c r="L29" i="4" s="1"/>
  <c r="E28" i="4"/>
  <c r="M28" i="4" s="1" a="1"/>
  <c r="M28" i="4" s="1"/>
  <c r="E27" i="4"/>
  <c r="N27" i="4" s="1" a="1"/>
  <c r="N27" i="4" s="1"/>
  <c r="E26" i="4"/>
  <c r="N26" i="4" s="1" a="1"/>
  <c r="N26" i="4" s="1"/>
  <c r="E25" i="4"/>
  <c r="A25" i="4" s="1"/>
  <c r="L25" i="4" s="1"/>
  <c r="E24" i="4"/>
  <c r="A24" i="4" s="1"/>
  <c r="L24" i="4" s="1"/>
  <c r="E23" i="4"/>
  <c r="A23" i="4" s="1"/>
  <c r="L23" i="4" s="1"/>
  <c r="E22" i="4"/>
  <c r="A22" i="4" s="1"/>
  <c r="L22" i="4" s="1"/>
  <c r="E21" i="4"/>
  <c r="N21" i="4" s="1" a="1"/>
  <c r="N21" i="4" s="1"/>
  <c r="E20" i="4"/>
  <c r="M20" i="4" s="1" a="1"/>
  <c r="M20" i="4" s="1"/>
  <c r="E19" i="4"/>
  <c r="M19" i="4" s="1" a="1"/>
  <c r="M19" i="4" s="1"/>
  <c r="E18" i="4"/>
  <c r="N18" i="4" s="1" a="1"/>
  <c r="N18" i="4" s="1"/>
  <c r="E17" i="4"/>
  <c r="A17" i="4" s="1"/>
  <c r="L17" i="4" s="1"/>
  <c r="E16" i="4"/>
  <c r="A16" i="4" s="1"/>
  <c r="L16" i="4" s="1"/>
  <c r="E15" i="4"/>
  <c r="A15" i="4" s="1"/>
  <c r="L15" i="4" s="1"/>
  <c r="E14" i="4"/>
  <c r="A14" i="4" s="1"/>
  <c r="L14" i="4" s="1"/>
  <c r="E13" i="4"/>
  <c r="A13" i="4" s="1"/>
  <c r="L13" i="4" s="1"/>
  <c r="E12" i="4"/>
  <c r="M12" i="4" s="1" a="1"/>
  <c r="M12" i="4" s="1"/>
  <c r="E11" i="4"/>
  <c r="A11" i="4" s="1"/>
  <c r="L11" i="4" s="1"/>
  <c r="E10" i="4"/>
  <c r="N10" i="4" s="1" a="1"/>
  <c r="N10" i="4" s="1"/>
  <c r="E9" i="4"/>
  <c r="A9" i="4" s="1"/>
  <c r="L9" i="4" s="1"/>
  <c r="E8" i="4"/>
  <c r="A8" i="4" s="1"/>
  <c r="L8" i="4" s="1"/>
  <c r="E7" i="4"/>
  <c r="A7" i="4" s="1"/>
  <c r="L7" i="4" s="1"/>
  <c r="E6" i="4"/>
  <c r="G5" i="4"/>
  <c r="H5" i="4" s="1"/>
  <c r="E5" i="4"/>
  <c r="A5" i="4" s="1"/>
  <c r="V53" i="2" s="1"/>
  <c r="K115" i="2"/>
  <c r="Q93" i="2"/>
  <c r="Q53" i="2"/>
  <c r="Q34" i="2"/>
  <c r="Q37" i="2"/>
  <c r="Q38" i="2"/>
  <c r="Q134" i="2"/>
  <c r="Q133" i="2"/>
  <c r="Q132" i="2"/>
  <c r="Q43" i="2"/>
  <c r="Q28" i="2"/>
  <c r="Q131" i="2"/>
  <c r="Q56" i="2"/>
  <c r="Q130" i="2"/>
  <c r="Q15" i="2"/>
  <c r="Q129" i="2"/>
  <c r="Q128" i="2"/>
  <c r="Q27" i="2"/>
  <c r="Q14" i="2"/>
  <c r="Q60" i="2"/>
  <c r="Q33" i="2"/>
  <c r="Q26" i="2"/>
  <c r="Q126" i="2"/>
  <c r="Q58" i="2"/>
  <c r="Q62" i="2"/>
  <c r="Q41" i="2"/>
  <c r="Q127" i="2"/>
  <c r="Q125" i="2"/>
  <c r="Q124" i="2"/>
  <c r="Q123" i="2"/>
  <c r="Q9" i="2"/>
  <c r="Q122" i="2"/>
  <c r="Q51" i="2"/>
  <c r="Q121" i="2"/>
  <c r="Q24" i="2"/>
  <c r="Q50" i="2"/>
  <c r="Q49" i="2"/>
  <c r="Q120" i="2"/>
  <c r="Q119" i="2"/>
  <c r="Q118" i="2"/>
  <c r="Q57" i="2"/>
  <c r="Q40" i="2"/>
  <c r="Q42" i="2"/>
  <c r="Q115" i="2"/>
  <c r="Q114" i="2"/>
  <c r="Q25" i="2"/>
  <c r="Q23" i="2"/>
  <c r="Q113" i="2"/>
  <c r="Q111" i="2"/>
  <c r="Q110" i="2"/>
  <c r="Q7" i="2"/>
  <c r="Q21" i="2"/>
  <c r="Q32" i="2"/>
  <c r="Q17" i="2"/>
  <c r="Q109" i="2"/>
  <c r="Q108" i="2"/>
  <c r="Q48" i="2"/>
  <c r="Q20" i="2"/>
  <c r="Q59" i="2"/>
  <c r="Q36" i="2"/>
  <c r="Q107" i="2"/>
  <c r="Q106" i="2"/>
  <c r="Q105" i="2"/>
  <c r="Q6" i="2"/>
  <c r="Q104" i="2"/>
  <c r="Q31" i="2"/>
  <c r="Q103" i="2"/>
  <c r="Q102" i="2"/>
  <c r="Q101" i="2"/>
  <c r="Q44" i="2"/>
  <c r="Q100" i="2"/>
  <c r="Q54" i="2"/>
  <c r="Q35" i="2"/>
  <c r="Q52" i="2"/>
  <c r="Q99" i="2"/>
  <c r="Q98" i="2"/>
  <c r="Q19" i="2"/>
  <c r="Q112" i="2"/>
  <c r="Q97" i="2"/>
  <c r="Q96" i="2"/>
  <c r="Q95" i="2"/>
  <c r="Q22" i="2"/>
  <c r="Q94" i="2"/>
  <c r="E21" i="1"/>
  <c r="A21" i="1" s="1"/>
  <c r="E23" i="1"/>
  <c r="A23" i="1" s="1"/>
  <c r="E24" i="1"/>
  <c r="A24" i="1" s="1"/>
  <c r="E26" i="1"/>
  <c r="A26" i="1" s="1"/>
  <c r="E22" i="1"/>
  <c r="A22" i="1" s="1"/>
  <c r="E27" i="1"/>
  <c r="E14" i="1"/>
  <c r="A14" i="1" s="1"/>
  <c r="E30" i="1"/>
  <c r="A30" i="1" s="1"/>
  <c r="E32" i="1"/>
  <c r="A32" i="1" s="1"/>
  <c r="E34" i="1"/>
  <c r="A34" i="1" s="1"/>
  <c r="E35" i="1"/>
  <c r="A35" i="1" s="1"/>
  <c r="E36" i="1"/>
  <c r="A36" i="1" s="1"/>
  <c r="E37" i="1"/>
  <c r="E38" i="1"/>
  <c r="A38" i="1" s="1"/>
  <c r="E39" i="1"/>
  <c r="A39" i="1" s="1"/>
  <c r="E40" i="1"/>
  <c r="A40" i="1" s="1"/>
  <c r="E41" i="1"/>
  <c r="A41" i="1" s="1"/>
  <c r="E42" i="1"/>
  <c r="A42" i="1" s="1"/>
  <c r="E46" i="1"/>
  <c r="M46" i="1" s="1" a="1"/>
  <c r="E7" i="1"/>
  <c r="A7" i="1" s="1"/>
  <c r="E8" i="1"/>
  <c r="E10" i="1"/>
  <c r="E5" i="1"/>
  <c r="A5" i="1" s="1"/>
  <c r="E11" i="1"/>
  <c r="A11" i="1" s="1"/>
  <c r="E6" i="1"/>
  <c r="A6" i="1" s="1"/>
  <c r="E9" i="1"/>
  <c r="A9" i="1" s="1"/>
  <c r="E12" i="1"/>
  <c r="N12" i="1" s="1" a="1"/>
  <c r="E13" i="1"/>
  <c r="A13" i="1" s="1"/>
  <c r="E16" i="1"/>
  <c r="A16" i="1" s="1"/>
  <c r="E17" i="1"/>
  <c r="A17" i="1" s="1"/>
  <c r="E19" i="1"/>
  <c r="A19" i="1" s="1"/>
  <c r="E28" i="1"/>
  <c r="A28" i="1" s="1"/>
  <c r="E48" i="1"/>
  <c r="A48" i="1" s="1"/>
  <c r="E18" i="1"/>
  <c r="A18" i="1" s="1"/>
  <c r="E15" i="1"/>
  <c r="A15" i="1" s="1"/>
  <c r="E20" i="1"/>
  <c r="A20" i="1" s="1"/>
  <c r="E25" i="1"/>
  <c r="E44" i="1"/>
  <c r="E45" i="1"/>
  <c r="A45" i="1" s="1"/>
  <c r="E29" i="1"/>
  <c r="A29" i="1" s="1"/>
  <c r="E31" i="1"/>
  <c r="A31" i="1" s="1"/>
  <c r="E33" i="1"/>
  <c r="A33" i="1" s="1"/>
  <c r="E43" i="1"/>
  <c r="E47" i="1"/>
  <c r="A47" i="1" s="1"/>
  <c r="G43" i="1"/>
  <c r="H43" i="1" s="1"/>
  <c r="G33" i="1"/>
  <c r="H33" i="1" s="1"/>
  <c r="G31" i="1"/>
  <c r="H31" i="1" s="1"/>
  <c r="G29" i="1"/>
  <c r="H29" i="1" s="1"/>
  <c r="G45" i="1"/>
  <c r="H45" i="1" s="1"/>
  <c r="G44" i="1"/>
  <c r="H44" i="1" s="1"/>
  <c r="G25" i="1"/>
  <c r="H25" i="1" s="1"/>
  <c r="G20" i="1"/>
  <c r="H20" i="1" s="1"/>
  <c r="G15" i="1"/>
  <c r="H15" i="1" s="1"/>
  <c r="G18" i="1"/>
  <c r="H18" i="1" s="1"/>
  <c r="G48" i="1"/>
  <c r="H48" i="1" s="1"/>
  <c r="G28" i="1"/>
  <c r="H28" i="1" s="1"/>
  <c r="G19" i="1"/>
  <c r="H19" i="1" s="1"/>
  <c r="G17" i="1"/>
  <c r="H17" i="1" s="1"/>
  <c r="G16" i="1"/>
  <c r="H16" i="1" s="1"/>
  <c r="G13" i="1"/>
  <c r="H13" i="1" s="1"/>
  <c r="G12" i="1"/>
  <c r="H12" i="1" s="1"/>
  <c r="G9" i="1"/>
  <c r="H9" i="1" s="1"/>
  <c r="G6" i="1"/>
  <c r="H6" i="1" s="1"/>
  <c r="G11" i="1"/>
  <c r="H11" i="1" s="1"/>
  <c r="G5" i="1"/>
  <c r="H5" i="1" s="1"/>
  <c r="G10" i="1"/>
  <c r="H10" i="1" s="1"/>
  <c r="G8" i="1"/>
  <c r="H8" i="1" s="1"/>
  <c r="G7" i="1"/>
  <c r="H7" i="1" s="1"/>
  <c r="G46" i="1"/>
  <c r="H46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2" i="1"/>
  <c r="H32" i="1" s="1"/>
  <c r="G30" i="1"/>
  <c r="H30" i="1" s="1"/>
  <c r="G14" i="1"/>
  <c r="H14" i="1" s="1"/>
  <c r="G27" i="1"/>
  <c r="H27" i="1" s="1"/>
  <c r="G22" i="1"/>
  <c r="H22" i="1" s="1"/>
  <c r="G26" i="1"/>
  <c r="H26" i="1" s="1"/>
  <c r="G24" i="1"/>
  <c r="H24" i="1" s="1"/>
  <c r="G23" i="1"/>
  <c r="H23" i="1" s="1"/>
  <c r="G21" i="1"/>
  <c r="H21" i="1" s="1"/>
  <c r="G47" i="1"/>
  <c r="H47" i="1" s="1"/>
  <c r="N41" i="1" a="1"/>
  <c r="D6" i="3" a="1"/>
  <c r="D2" i="3" a="1"/>
  <c r="D13" i="3" a="1"/>
  <c r="D18" i="3" a="1"/>
  <c r="D9" i="3" a="1"/>
  <c r="D27" i="3" a="1"/>
  <c r="D15" i="3" a="1"/>
  <c r="D17" i="3" a="1"/>
  <c r="D23" i="3" a="1"/>
  <c r="D5" i="3" a="1"/>
  <c r="D31" i="3" a="1"/>
  <c r="D22" i="3" a="1"/>
  <c r="D26" i="3" a="1"/>
  <c r="D3" i="3" a="1"/>
  <c r="D21" i="3" a="1"/>
  <c r="D14" i="3" a="1"/>
  <c r="D32" i="3" a="1"/>
  <c r="D16" i="3" a="1"/>
  <c r="D11" i="3" a="1"/>
  <c r="D28" i="3" a="1"/>
  <c r="D24" i="3" a="1"/>
  <c r="D19" i="3" a="1"/>
  <c r="D10" i="3" a="1"/>
  <c r="D25" i="3" a="1"/>
  <c r="D8" i="3" a="1"/>
  <c r="D7" i="3" a="1"/>
  <c r="D12" i="3" a="1"/>
  <c r="D29" i="3" a="1"/>
  <c r="D4" i="3" a="1"/>
  <c r="D30" i="3" a="1"/>
  <c r="D20" i="3" a="1"/>
  <c r="P47" i="5" l="1" a="1"/>
  <c r="P47" i="5" s="1"/>
  <c r="N43" i="5" a="1"/>
  <c r="N43" i="5" s="1"/>
  <c r="A43" i="5"/>
  <c r="O47" i="5" a="1"/>
  <c r="O47" i="5" s="1"/>
  <c r="P45" i="5" a="1"/>
  <c r="P45" i="5" s="1"/>
  <c r="M24" i="5" a="1"/>
  <c r="M24" i="5" s="1"/>
  <c r="N24" i="5" a="1"/>
  <c r="N24" i="5" s="1"/>
  <c r="A24" i="5"/>
  <c r="O45" i="5" a="1"/>
  <c r="O45" i="5" s="1"/>
  <c r="A45" i="5"/>
  <c r="A19" i="5"/>
  <c r="A11" i="5"/>
  <c r="A41" i="5"/>
  <c r="A25" i="5"/>
  <c r="A9" i="5"/>
  <c r="A40" i="5"/>
  <c r="A48" i="5"/>
  <c r="A32" i="5"/>
  <c r="A16" i="5"/>
  <c r="A8" i="5"/>
  <c r="A31" i="5"/>
  <c r="A23" i="5"/>
  <c r="A15" i="5"/>
  <c r="A7" i="5"/>
  <c r="A47" i="5"/>
  <c r="A38" i="5"/>
  <c r="A30" i="5"/>
  <c r="A22" i="5"/>
  <c r="A14" i="5"/>
  <c r="A6" i="5"/>
  <c r="A46" i="5"/>
  <c r="A37" i="5"/>
  <c r="A29" i="5"/>
  <c r="A21" i="5"/>
  <c r="A13" i="5"/>
  <c r="A5" i="5"/>
  <c r="M14" i="1" a="1"/>
  <c r="M14" i="1" s="1"/>
  <c r="N15" i="1" a="1"/>
  <c r="N15" i="1" s="1"/>
  <c r="M24" i="1" a="1"/>
  <c r="M24" i="1" s="1"/>
  <c r="M31" i="1" a="1"/>
  <c r="M31" i="1" s="1"/>
  <c r="M22" i="1" a="1"/>
  <c r="M22" i="1" s="1"/>
  <c r="M41" i="4" a="1"/>
  <c r="M41" i="4" s="1"/>
  <c r="M41" i="1" a="1"/>
  <c r="M41" i="1" s="1"/>
  <c r="M15" i="1" a="1"/>
  <c r="M15" i="1" s="1"/>
  <c r="M6" i="1" a="1"/>
  <c r="M6" i="1" s="1"/>
  <c r="M17" i="1" a="1"/>
  <c r="M17" i="1" s="1"/>
  <c r="M35" i="1" a="1"/>
  <c r="M35" i="1" s="1"/>
  <c r="N31" i="1" a="1"/>
  <c r="N31" i="1" s="1"/>
  <c r="N6" i="1" a="1"/>
  <c r="N6" i="1" s="1"/>
  <c r="M7" i="1" a="1"/>
  <c r="M7" i="1" s="1"/>
  <c r="N22" i="1" a="1"/>
  <c r="N22" i="1" s="1"/>
  <c r="N9" i="4" a="1"/>
  <c r="N9" i="4" s="1"/>
  <c r="N23" i="1" a="1"/>
  <c r="N23" i="1" s="1"/>
  <c r="M48" i="4" a="1"/>
  <c r="M48" i="4" s="1"/>
  <c r="N48" i="4" a="1"/>
  <c r="N48" i="4" s="1"/>
  <c r="N17" i="1" a="1"/>
  <c r="N17" i="1" s="1"/>
  <c r="M47" i="1" a="1"/>
  <c r="M47" i="1" s="1"/>
  <c r="M20" i="1" a="1"/>
  <c r="M20" i="1" s="1"/>
  <c r="M13" i="1" a="1"/>
  <c r="M13" i="1" s="1"/>
  <c r="M34" i="1" a="1"/>
  <c r="M34" i="1" s="1"/>
  <c r="N36" i="1" a="1"/>
  <c r="N36" i="1" s="1"/>
  <c r="N34" i="1" a="1"/>
  <c r="N34" i="1" s="1"/>
  <c r="N42" i="1" a="1"/>
  <c r="N42" i="1" s="1"/>
  <c r="N13" i="1" a="1"/>
  <c r="N13" i="1" s="1"/>
  <c r="M36" i="1" a="1"/>
  <c r="M36" i="1" s="1"/>
  <c r="N20" i="1" a="1"/>
  <c r="N20" i="1" s="1"/>
  <c r="N26" i="1" a="1"/>
  <c r="N26" i="1" s="1"/>
  <c r="N47" i="1" a="1"/>
  <c r="N47" i="1" s="1"/>
  <c r="M26" i="1" a="1"/>
  <c r="M26" i="1" s="1"/>
  <c r="M23" i="1" a="1"/>
  <c r="M23" i="1" s="1"/>
  <c r="N7" i="1" a="1"/>
  <c r="N7" i="1" s="1"/>
  <c r="A44" i="1"/>
  <c r="N44" i="1" a="1"/>
  <c r="N44" i="1" s="1"/>
  <c r="M44" i="1" a="1"/>
  <c r="M44" i="1" s="1"/>
  <c r="A10" i="1"/>
  <c r="M10" i="1" a="1"/>
  <c r="M10" i="1" s="1"/>
  <c r="A27" i="1"/>
  <c r="M27" i="1" a="1"/>
  <c r="M27" i="1" s="1"/>
  <c r="A25" i="1"/>
  <c r="N25" i="1" a="1"/>
  <c r="N25" i="1" s="1"/>
  <c r="A8" i="1"/>
  <c r="R57" i="2" s="1"/>
  <c r="M8" i="1" a="1"/>
  <c r="M8" i="1" s="1"/>
  <c r="A37" i="1"/>
  <c r="M37" i="1" a="1"/>
  <c r="M37" i="1" s="1"/>
  <c r="W42" i="2"/>
  <c r="W53" i="2"/>
  <c r="X53" i="2" s="1"/>
  <c r="V4" i="2"/>
  <c r="L5" i="4"/>
  <c r="W4" i="2"/>
  <c r="V42" i="2"/>
  <c r="A43" i="1"/>
  <c r="N43" i="1" a="1"/>
  <c r="N43" i="1" s="1"/>
  <c r="M43" i="1" a="1"/>
  <c r="M43" i="1" s="1"/>
  <c r="A12" i="1"/>
  <c r="M12" i="1" a="1"/>
  <c r="M12" i="1" s="1"/>
  <c r="A46" i="1"/>
  <c r="N46" i="1" a="1"/>
  <c r="N46" i="1" s="1"/>
  <c r="A6" i="4"/>
  <c r="Z22" i="2" s="1"/>
  <c r="M6" i="4" a="1"/>
  <c r="M6" i="4" s="1"/>
  <c r="N37" i="1" a="1"/>
  <c r="N37" i="1" s="1"/>
  <c r="N10" i="1" a="1"/>
  <c r="N10" i="1" s="1"/>
  <c r="N9" i="1" a="1"/>
  <c r="N9" i="1" s="1"/>
  <c r="Z42" i="2"/>
  <c r="M42" i="5" a="1"/>
  <c r="M42" i="5" s="1"/>
  <c r="N44" i="5" a="1"/>
  <c r="N44" i="5" s="1"/>
  <c r="P5" i="5" a="1"/>
  <c r="P5" i="5" s="1"/>
  <c r="O46" i="5" a="1"/>
  <c r="O46" i="5" s="1"/>
  <c r="O33" i="5" a="1"/>
  <c r="O33" i="5" s="1"/>
  <c r="O30" i="5" a="1"/>
  <c r="O30" i="5" s="1"/>
  <c r="O26" i="5" a="1"/>
  <c r="O26" i="5" s="1"/>
  <c r="P23" i="5" a="1"/>
  <c r="P23" i="5" s="1"/>
  <c r="O44" i="5" a="1"/>
  <c r="O44" i="5" s="1"/>
  <c r="O22" i="5" a="1"/>
  <c r="O22" i="5" s="1"/>
  <c r="O41" i="5" a="1"/>
  <c r="O41" i="5" s="1"/>
  <c r="O18" i="5" a="1"/>
  <c r="O18" i="5" s="1"/>
  <c r="O37" i="5" a="1"/>
  <c r="O37" i="5" s="1"/>
  <c r="O14" i="5" a="1"/>
  <c r="O14" i="5" s="1"/>
  <c r="O34" i="5" a="1"/>
  <c r="O34" i="5" s="1"/>
  <c r="O10" i="5" a="1"/>
  <c r="O10" i="5" s="1"/>
  <c r="O6" i="5" a="1"/>
  <c r="O6" i="5" s="1"/>
  <c r="M39" i="5" a="1"/>
  <c r="M39" i="5" s="1"/>
  <c r="N42" i="5" a="1"/>
  <c r="N42" i="5" s="1"/>
  <c r="O5" i="5" a="1"/>
  <c r="O5" i="5" s="1"/>
  <c r="P44" i="5" a="1"/>
  <c r="P44" i="5" s="1"/>
  <c r="P40" i="5" a="1"/>
  <c r="P40" i="5" s="1"/>
  <c r="P33" i="5" a="1"/>
  <c r="P33" i="5" s="1"/>
  <c r="P29" i="5" a="1"/>
  <c r="P29" i="5" s="1"/>
  <c r="P25" i="5" a="1"/>
  <c r="P25" i="5" s="1"/>
  <c r="P21" i="5" a="1"/>
  <c r="P21" i="5" s="1"/>
  <c r="P17" i="5" a="1"/>
  <c r="P17" i="5" s="1"/>
  <c r="P13" i="5" a="1"/>
  <c r="P13" i="5" s="1"/>
  <c r="P9" i="5" a="1"/>
  <c r="P9" i="5" s="1"/>
  <c r="O40" i="5" a="1"/>
  <c r="O40" i="5" s="1"/>
  <c r="O29" i="5" a="1"/>
  <c r="O29" i="5" s="1"/>
  <c r="O25" i="5" a="1"/>
  <c r="O25" i="5" s="1"/>
  <c r="O21" i="5" a="1"/>
  <c r="O21" i="5" s="1"/>
  <c r="O17" i="5" a="1"/>
  <c r="O17" i="5" s="1"/>
  <c r="O13" i="5" a="1"/>
  <c r="O13" i="5" s="1"/>
  <c r="O9" i="5" a="1"/>
  <c r="O9" i="5" s="1"/>
  <c r="P43" i="5" a="1"/>
  <c r="P43" i="5" s="1"/>
  <c r="P39" i="5" a="1"/>
  <c r="P39" i="5" s="1"/>
  <c r="P36" i="5" a="1"/>
  <c r="P36" i="5" s="1"/>
  <c r="P32" i="5" a="1"/>
  <c r="P32" i="5" s="1"/>
  <c r="P28" i="5" a="1"/>
  <c r="P28" i="5" s="1"/>
  <c r="P24" i="5" a="1"/>
  <c r="P24" i="5" s="1"/>
  <c r="P20" i="5" a="1"/>
  <c r="P20" i="5" s="1"/>
  <c r="P16" i="5" a="1"/>
  <c r="P16" i="5" s="1"/>
  <c r="P12" i="5" a="1"/>
  <c r="P12" i="5" s="1"/>
  <c r="P8" i="5" a="1"/>
  <c r="P8" i="5" s="1"/>
  <c r="O43" i="5" a="1"/>
  <c r="O43" i="5" s="1"/>
  <c r="O39" i="5" a="1"/>
  <c r="O39" i="5" s="1"/>
  <c r="O36" i="5" a="1"/>
  <c r="O36" i="5" s="1"/>
  <c r="O32" i="5" a="1"/>
  <c r="O32" i="5" s="1"/>
  <c r="O28" i="5" a="1"/>
  <c r="O28" i="5" s="1"/>
  <c r="O24" i="5" a="1"/>
  <c r="O24" i="5" s="1"/>
  <c r="O20" i="5" a="1"/>
  <c r="O20" i="5" s="1"/>
  <c r="O16" i="5" a="1"/>
  <c r="O16" i="5" s="1"/>
  <c r="O12" i="5" a="1"/>
  <c r="O12" i="5" s="1"/>
  <c r="O8" i="5" a="1"/>
  <c r="O8" i="5" s="1"/>
  <c r="P48" i="5" a="1"/>
  <c r="P48" i="5" s="1"/>
  <c r="P42" i="5" a="1"/>
  <c r="P42" i="5" s="1"/>
  <c r="P38" i="5" a="1"/>
  <c r="P38" i="5" s="1"/>
  <c r="P35" i="5" a="1"/>
  <c r="P35" i="5" s="1"/>
  <c r="P31" i="5" a="1"/>
  <c r="P31" i="5" s="1"/>
  <c r="P27" i="5" a="1"/>
  <c r="P27" i="5" s="1"/>
  <c r="P19" i="5" a="1"/>
  <c r="P19" i="5" s="1"/>
  <c r="P15" i="5" a="1"/>
  <c r="P15" i="5" s="1"/>
  <c r="P11" i="5" a="1"/>
  <c r="P11" i="5" s="1"/>
  <c r="P7" i="5" a="1"/>
  <c r="P7" i="5" s="1"/>
  <c r="O48" i="5" a="1"/>
  <c r="O48" i="5" s="1"/>
  <c r="O42" i="5" a="1"/>
  <c r="O42" i="5" s="1"/>
  <c r="O38" i="5" a="1"/>
  <c r="O38" i="5" s="1"/>
  <c r="O35" i="5" a="1"/>
  <c r="O35" i="5" s="1"/>
  <c r="O31" i="5" a="1"/>
  <c r="O31" i="5" s="1"/>
  <c r="O27" i="5" a="1"/>
  <c r="O27" i="5" s="1"/>
  <c r="O23" i="5" a="1"/>
  <c r="O23" i="5" s="1"/>
  <c r="O19" i="5" a="1"/>
  <c r="O19" i="5" s="1"/>
  <c r="O15" i="5" a="1"/>
  <c r="O15" i="5" s="1"/>
  <c r="O11" i="5" a="1"/>
  <c r="O11" i="5" s="1"/>
  <c r="O7" i="5" a="1"/>
  <c r="O7" i="5" s="1"/>
  <c r="P46" i="5" a="1"/>
  <c r="P46" i="5" s="1"/>
  <c r="P41" i="5" a="1"/>
  <c r="P41" i="5" s="1"/>
  <c r="P37" i="5" a="1"/>
  <c r="P37" i="5" s="1"/>
  <c r="P34" i="5" a="1"/>
  <c r="P34" i="5" s="1"/>
  <c r="P30" i="5" a="1"/>
  <c r="P30" i="5" s="1"/>
  <c r="P26" i="5" a="1"/>
  <c r="P26" i="5" s="1"/>
  <c r="P22" i="5" a="1"/>
  <c r="P22" i="5" s="1"/>
  <c r="P18" i="5" a="1"/>
  <c r="P18" i="5" s="1"/>
  <c r="P14" i="5" a="1"/>
  <c r="P14" i="5" s="1"/>
  <c r="P10" i="5" a="1"/>
  <c r="P10" i="5" s="1"/>
  <c r="P6" i="5" a="1"/>
  <c r="P6" i="5" s="1"/>
  <c r="N39" i="5" a="1"/>
  <c r="N39" i="5" s="1"/>
  <c r="N33" i="5" a="1"/>
  <c r="N33" i="5" s="1"/>
  <c r="M35" i="5" a="1"/>
  <c r="M35" i="5" s="1"/>
  <c r="M44" i="5" a="1"/>
  <c r="M44" i="5" s="1"/>
  <c r="M11" i="5" a="1"/>
  <c r="M11" i="5" s="1"/>
  <c r="N35" i="5" a="1"/>
  <c r="N35" i="5" s="1"/>
  <c r="M10" i="5" a="1"/>
  <c r="M10" i="5" s="1"/>
  <c r="N28" i="5" a="1"/>
  <c r="N28" i="5" s="1"/>
  <c r="M41" i="5" a="1"/>
  <c r="M41" i="5" s="1"/>
  <c r="M33" i="5" a="1"/>
  <c r="M33" i="5" s="1"/>
  <c r="N22" i="5" a="1"/>
  <c r="N22" i="5" s="1"/>
  <c r="M32" i="5" a="1"/>
  <c r="M32" i="5" s="1"/>
  <c r="M27" i="5" a="1"/>
  <c r="M27" i="5" s="1"/>
  <c r="N27" i="5" a="1"/>
  <c r="N27" i="5" s="1"/>
  <c r="N6" i="5" a="1"/>
  <c r="N6" i="5" s="1"/>
  <c r="M6" i="5" a="1"/>
  <c r="M6" i="5" s="1"/>
  <c r="N14" i="5" a="1"/>
  <c r="N14" i="5" s="1"/>
  <c r="M22" i="5" a="1"/>
  <c r="M22" i="5" s="1"/>
  <c r="N25" i="5" a="1"/>
  <c r="N25" i="5" s="1"/>
  <c r="N10" i="5" a="1"/>
  <c r="N10" i="5" s="1"/>
  <c r="M8" i="5" a="1"/>
  <c r="M8" i="5" s="1"/>
  <c r="M17" i="5" a="1"/>
  <c r="M17" i="5" s="1"/>
  <c r="M19" i="5" a="1"/>
  <c r="M19" i="5" s="1"/>
  <c r="N48" i="5" a="1"/>
  <c r="N48" i="5" s="1"/>
  <c r="M9" i="5" a="1"/>
  <c r="M9" i="5" s="1"/>
  <c r="N17" i="5" a="1"/>
  <c r="N17" i="5" s="1"/>
  <c r="M28" i="5" a="1"/>
  <c r="M28" i="5" s="1"/>
  <c r="M30" i="5" a="1"/>
  <c r="M30" i="5" s="1"/>
  <c r="M15" i="5" a="1"/>
  <c r="M15" i="5" s="1"/>
  <c r="N45" i="5" a="1"/>
  <c r="N45" i="5" s="1"/>
  <c r="N16" i="5" a="1"/>
  <c r="N16" i="5" s="1"/>
  <c r="N23" i="5" a="1"/>
  <c r="N23" i="5" s="1"/>
  <c r="N31" i="5" a="1"/>
  <c r="N31" i="5" s="1"/>
  <c r="N37" i="5" a="1"/>
  <c r="N37" i="5" s="1"/>
  <c r="M5" i="5" a="1"/>
  <c r="M5" i="5" s="1"/>
  <c r="M47" i="5" a="1"/>
  <c r="M47" i="5" s="1"/>
  <c r="M18" i="5" a="1"/>
  <c r="M18" i="5" s="1"/>
  <c r="M26" i="5" a="1"/>
  <c r="M26" i="5" s="1"/>
  <c r="M34" i="5" a="1"/>
  <c r="M34" i="5" s="1"/>
  <c r="N38" i="5" a="1"/>
  <c r="N38" i="5" s="1"/>
  <c r="M40" i="5" a="1"/>
  <c r="M40" i="5" s="1"/>
  <c r="N5" i="5" a="1"/>
  <c r="N5" i="5" s="1"/>
  <c r="M46" i="5" a="1"/>
  <c r="M46" i="5" s="1"/>
  <c r="N47" i="5" a="1"/>
  <c r="N47" i="5" s="1"/>
  <c r="M12" i="5" a="1"/>
  <c r="M12" i="5" s="1"/>
  <c r="N18" i="5" a="1"/>
  <c r="N18" i="5" s="1"/>
  <c r="M20" i="5" a="1"/>
  <c r="M20" i="5" s="1"/>
  <c r="N26" i="5" a="1"/>
  <c r="N26" i="5" s="1"/>
  <c r="N34" i="5" a="1"/>
  <c r="N34" i="5" s="1"/>
  <c r="N40" i="5" a="1"/>
  <c r="N40" i="5" s="1"/>
  <c r="M7" i="5" a="1"/>
  <c r="M7" i="5" s="1"/>
  <c r="M13" i="5" a="1"/>
  <c r="M13" i="5" s="1"/>
  <c r="M21" i="5" a="1"/>
  <c r="M21" i="5" s="1"/>
  <c r="M29" i="5" a="1"/>
  <c r="M29" i="5" s="1"/>
  <c r="M36" i="5" a="1"/>
  <c r="M36" i="5" s="1"/>
  <c r="N46" i="5" a="1"/>
  <c r="N46" i="5" s="1"/>
  <c r="N12" i="5" a="1"/>
  <c r="N12" i="5" s="1"/>
  <c r="N20" i="5" a="1"/>
  <c r="N20" i="5" s="1"/>
  <c r="N29" i="5" a="1"/>
  <c r="N29" i="5" s="1"/>
  <c r="N36" i="5" a="1"/>
  <c r="N36" i="5" s="1"/>
  <c r="Z4" i="2"/>
  <c r="Z53" i="2"/>
  <c r="Y4" i="2"/>
  <c r="Y53" i="2"/>
  <c r="Y42" i="2"/>
  <c r="M8" i="4" a="1"/>
  <c r="M8" i="4" s="1"/>
  <c r="N22" i="4" a="1"/>
  <c r="N22" i="4" s="1"/>
  <c r="M47" i="4" a="1"/>
  <c r="M47" i="4" s="1"/>
  <c r="M40" i="4" a="1"/>
  <c r="M40" i="4" s="1"/>
  <c r="N25" i="4" a="1"/>
  <c r="N25" i="4" s="1"/>
  <c r="A41" i="4"/>
  <c r="L41" i="4" s="1"/>
  <c r="M43" i="4" a="1"/>
  <c r="M43" i="4" s="1"/>
  <c r="N6" i="4" a="1"/>
  <c r="N6" i="4" s="1"/>
  <c r="N14" i="4" a="1"/>
  <c r="N14" i="4" s="1"/>
  <c r="M13" i="4" a="1"/>
  <c r="M13" i="4" s="1"/>
  <c r="N13" i="4" a="1"/>
  <c r="N13" i="4" s="1"/>
  <c r="N8" i="4" a="1"/>
  <c r="N8" i="4" s="1"/>
  <c r="M11" i="4" a="1"/>
  <c r="M11" i="4" s="1"/>
  <c r="M14" i="4" a="1"/>
  <c r="M14" i="4" s="1"/>
  <c r="M24" i="4" a="1"/>
  <c r="M24" i="4" s="1"/>
  <c r="N45" i="4" a="1"/>
  <c r="N45" i="4" s="1"/>
  <c r="M38" i="4" a="1"/>
  <c r="M38" i="4" s="1"/>
  <c r="A33" i="4"/>
  <c r="L33" i="4" s="1"/>
  <c r="N11" i="4" a="1"/>
  <c r="N11" i="4" s="1"/>
  <c r="N38" i="4" a="1"/>
  <c r="N38" i="4" s="1"/>
  <c r="M5" i="4" a="1"/>
  <c r="M5" i="4" s="1"/>
  <c r="N5" i="4" a="1"/>
  <c r="N5" i="4" s="1"/>
  <c r="N37" i="4" a="1"/>
  <c r="N37" i="4" s="1"/>
  <c r="N17" i="4" a="1"/>
  <c r="N17" i="4" s="1"/>
  <c r="A21" i="4"/>
  <c r="L21" i="4" s="1"/>
  <c r="M32" i="4" a="1"/>
  <c r="M32" i="4" s="1"/>
  <c r="A35" i="4"/>
  <c r="L35" i="4" s="1"/>
  <c r="A45" i="4"/>
  <c r="L45" i="4" s="1"/>
  <c r="N40" i="4" a="1"/>
  <c r="N40" i="4" s="1"/>
  <c r="N19" i="4" a="1"/>
  <c r="N19" i="4" s="1"/>
  <c r="A32" i="4"/>
  <c r="L32" i="4" s="1"/>
  <c r="M21" i="4" a="1"/>
  <c r="M21" i="4" s="1"/>
  <c r="N24" i="4" a="1"/>
  <c r="N24" i="4" s="1"/>
  <c r="A27" i="4"/>
  <c r="L27" i="4" s="1"/>
  <c r="M33" i="4" a="1"/>
  <c r="M33" i="4" s="1"/>
  <c r="M35" i="4" a="1"/>
  <c r="M35" i="4" s="1"/>
  <c r="M30" i="4" a="1"/>
  <c r="M30" i="4" s="1"/>
  <c r="N47" i="4" a="1"/>
  <c r="N47" i="4" s="1"/>
  <c r="M16" i="4" a="1"/>
  <c r="M16" i="4" s="1"/>
  <c r="M29" i="4" a="1"/>
  <c r="M29" i="4" s="1"/>
  <c r="N30" i="4" a="1"/>
  <c r="N30" i="4" s="1"/>
  <c r="M42" i="4" a="1"/>
  <c r="M42" i="4" s="1"/>
  <c r="N46" i="4" a="1"/>
  <c r="N46" i="4" s="1"/>
  <c r="N16" i="4" a="1"/>
  <c r="N16" i="4" s="1"/>
  <c r="A19" i="4"/>
  <c r="L19" i="4" s="1"/>
  <c r="M27" i="4" a="1"/>
  <c r="M27" i="4" s="1"/>
  <c r="A37" i="4"/>
  <c r="L37" i="4" s="1"/>
  <c r="N29" i="4" a="1"/>
  <c r="N29" i="4" s="1"/>
  <c r="N42" i="4" a="1"/>
  <c r="N42" i="4" s="1"/>
  <c r="M22" i="4" a="1"/>
  <c r="M22" i="4" s="1"/>
  <c r="A10" i="4"/>
  <c r="A18" i="4"/>
  <c r="L18" i="4" s="1"/>
  <c r="A26" i="4"/>
  <c r="L26" i="4" s="1"/>
  <c r="A34" i="4"/>
  <c r="L34" i="4" s="1"/>
  <c r="N43" i="4" a="1"/>
  <c r="N43" i="4" s="1"/>
  <c r="N12" i="4" a="1"/>
  <c r="N12" i="4" s="1"/>
  <c r="N20" i="4" a="1"/>
  <c r="N20" i="4" s="1"/>
  <c r="N28" i="4" a="1"/>
  <c r="N28" i="4" s="1"/>
  <c r="N36" i="4" a="1"/>
  <c r="N36" i="4" s="1"/>
  <c r="N44" i="4" a="1"/>
  <c r="N44" i="4" s="1"/>
  <c r="M46" i="4" a="1"/>
  <c r="M46" i="4" s="1"/>
  <c r="M7" i="4" a="1"/>
  <c r="M7" i="4" s="1"/>
  <c r="A12" i="4"/>
  <c r="L12" i="4" s="1"/>
  <c r="M15" i="4" a="1"/>
  <c r="M15" i="4" s="1"/>
  <c r="A20" i="4"/>
  <c r="L20" i="4" s="1"/>
  <c r="M23" i="4" a="1"/>
  <c r="M23" i="4" s="1"/>
  <c r="A28" i="4"/>
  <c r="L28" i="4" s="1"/>
  <c r="M31" i="4" a="1"/>
  <c r="M31" i="4" s="1"/>
  <c r="A36" i="4"/>
  <c r="L36" i="4" s="1"/>
  <c r="M39" i="4" a="1"/>
  <c r="M39" i="4" s="1"/>
  <c r="A44" i="4"/>
  <c r="L44" i="4" s="1"/>
  <c r="N7" i="4" a="1"/>
  <c r="N7" i="4" s="1"/>
  <c r="M9" i="4" a="1"/>
  <c r="M9" i="4" s="1"/>
  <c r="N15" i="4" a="1"/>
  <c r="N15" i="4" s="1"/>
  <c r="M17" i="4" a="1"/>
  <c r="M17" i="4" s="1"/>
  <c r="N23" i="4" a="1"/>
  <c r="N23" i="4" s="1"/>
  <c r="M25" i="4" a="1"/>
  <c r="M25" i="4" s="1"/>
  <c r="N31" i="4" a="1"/>
  <c r="N31" i="4" s="1"/>
  <c r="N39" i="4" a="1"/>
  <c r="N39" i="4" s="1"/>
  <c r="M10" i="4" a="1"/>
  <c r="M10" i="4" s="1"/>
  <c r="M18" i="4" a="1"/>
  <c r="M18" i="4" s="1"/>
  <c r="M26" i="4" a="1"/>
  <c r="M26" i="4" s="1"/>
  <c r="M34" i="4" a="1"/>
  <c r="M34" i="4" s="1"/>
  <c r="M30" i="1" a="1"/>
  <c r="M30" i="1" s="1"/>
  <c r="M28" i="1" a="1"/>
  <c r="M28" i="1" s="1"/>
  <c r="N14" i="1" a="1"/>
  <c r="N14" i="1" s="1"/>
  <c r="M25" i="1" a="1"/>
  <c r="M25" i="1" s="1"/>
  <c r="N30" i="1" a="1"/>
  <c r="N30" i="1" s="1"/>
  <c r="N38" i="1" a="1"/>
  <c r="N38" i="1" s="1"/>
  <c r="N16" i="1" a="1"/>
  <c r="N16" i="1" s="1"/>
  <c r="N45" i="1" a="1"/>
  <c r="N45" i="1" s="1"/>
  <c r="N27" i="1" a="1"/>
  <c r="N27" i="1" s="1"/>
  <c r="M19" i="1" a="1"/>
  <c r="M19" i="1" s="1"/>
  <c r="M5" i="1" a="1"/>
  <c r="M5" i="1" s="1"/>
  <c r="M38" i="1" a="1"/>
  <c r="M38" i="1" s="1"/>
  <c r="N8" i="1" a="1"/>
  <c r="N8" i="1" s="1"/>
  <c r="N19" i="1" a="1"/>
  <c r="N19" i="1" s="1"/>
  <c r="M39" i="1" a="1"/>
  <c r="M39" i="1" s="1"/>
  <c r="M16" i="1" a="1"/>
  <c r="M16" i="1" s="1"/>
  <c r="M45" i="1" a="1"/>
  <c r="M45" i="1" s="1"/>
  <c r="N39" i="1" a="1"/>
  <c r="N39" i="1" s="1"/>
  <c r="N5" i="1" a="1"/>
  <c r="N5" i="1" s="1"/>
  <c r="M29" i="1" a="1"/>
  <c r="M29" i="1" s="1"/>
  <c r="R134" i="2"/>
  <c r="M48" i="1" a="1"/>
  <c r="M48" i="1" s="1"/>
  <c r="N48" i="1" a="1"/>
  <c r="N48" i="1" s="1"/>
  <c r="N21" i="1" a="1"/>
  <c r="N21" i="1" s="1"/>
  <c r="N40" i="1" a="1"/>
  <c r="N40" i="1" s="1"/>
  <c r="M33" i="1" a="1"/>
  <c r="M33" i="1" s="1"/>
  <c r="M32" i="1" a="1"/>
  <c r="M32" i="1" s="1"/>
  <c r="N28" i="1" a="1"/>
  <c r="N28" i="1" s="1"/>
  <c r="M18" i="1" a="1"/>
  <c r="M18" i="1" s="1"/>
  <c r="M21" i="1" a="1"/>
  <c r="M21" i="1" s="1"/>
  <c r="N32" i="1" a="1"/>
  <c r="N32" i="1" s="1"/>
  <c r="N11" i="1" a="1"/>
  <c r="N11" i="1" s="1"/>
  <c r="M11" i="1" a="1"/>
  <c r="M11" i="1" s="1"/>
  <c r="N35" i="1" a="1"/>
  <c r="N35" i="1" s="1"/>
  <c r="M9" i="1" a="1"/>
  <c r="M9" i="1" s="1"/>
  <c r="N18" i="1" a="1"/>
  <c r="N18" i="1" s="1"/>
  <c r="M42" i="1" a="1"/>
  <c r="M42" i="1" s="1"/>
  <c r="N24" i="1" a="1"/>
  <c r="N24" i="1" s="1"/>
  <c r="M40" i="1" a="1"/>
  <c r="M40" i="1" s="1"/>
  <c r="N33" i="1" a="1"/>
  <c r="N33" i="1" s="1"/>
  <c r="N29" i="1" a="1"/>
  <c r="N29" i="1" s="1"/>
  <c r="R42" i="2"/>
  <c r="R53" i="2"/>
  <c r="R24" i="2"/>
  <c r="R111" i="2"/>
  <c r="R93" i="2"/>
  <c r="R40" i="2"/>
  <c r="R116" i="2"/>
  <c r="R4" i="2"/>
  <c r="P42" i="2"/>
  <c r="P134" i="2"/>
  <c r="P40" i="2"/>
  <c r="P4" i="2"/>
  <c r="P93" i="2"/>
  <c r="P111" i="2"/>
  <c r="P24" i="2"/>
  <c r="P53" i="2"/>
  <c r="O24" i="2"/>
  <c r="O53" i="2"/>
  <c r="O93" i="2"/>
  <c r="O4" i="2"/>
  <c r="O134" i="2"/>
  <c r="O40" i="2"/>
  <c r="O42" i="2"/>
  <c r="O111" i="2"/>
  <c r="L134" i="2"/>
  <c r="L40" i="2"/>
  <c r="M42" i="2"/>
  <c r="M111" i="2"/>
  <c r="M93" i="2"/>
  <c r="L42" i="2"/>
  <c r="L111" i="2"/>
  <c r="L93" i="2"/>
  <c r="M24" i="2"/>
  <c r="M53" i="2"/>
  <c r="M134" i="2"/>
  <c r="M40" i="2"/>
  <c r="L24" i="2"/>
  <c r="L53" i="2"/>
  <c r="D24" i="3"/>
  <c r="D4" i="3"/>
  <c r="D21" i="3"/>
  <c r="D7" i="3"/>
  <c r="D2" i="3"/>
  <c r="D13" i="3"/>
  <c r="D9" i="3"/>
  <c r="D17" i="3"/>
  <c r="D32" i="3"/>
  <c r="D5" i="3"/>
  <c r="D16" i="3"/>
  <c r="D26" i="3"/>
  <c r="D27" i="3"/>
  <c r="D8" i="3"/>
  <c r="D12" i="3"/>
  <c r="D6" i="3"/>
  <c r="D18" i="3"/>
  <c r="D29" i="3"/>
  <c r="D22" i="3"/>
  <c r="D28" i="3"/>
  <c r="D11" i="3"/>
  <c r="D19" i="3"/>
  <c r="D14" i="3"/>
  <c r="D20" i="3"/>
  <c r="D10" i="3"/>
  <c r="D30" i="3"/>
  <c r="D25" i="3"/>
  <c r="D3" i="3"/>
  <c r="D31" i="3"/>
  <c r="D23" i="3"/>
  <c r="D15" i="3"/>
  <c r="N12" i="1"/>
  <c r="N41" i="1"/>
  <c r="M46" i="1"/>
  <c r="M94" i="2" l="1"/>
  <c r="AF49" i="2"/>
  <c r="AF95" i="2"/>
  <c r="AF126" i="2"/>
  <c r="AF40" i="2"/>
  <c r="AF98" i="2"/>
  <c r="AF110" i="2"/>
  <c r="AF62" i="2"/>
  <c r="AF100" i="2"/>
  <c r="AF22" i="2"/>
  <c r="AF58" i="2"/>
  <c r="AF51" i="2"/>
  <c r="AF91" i="2"/>
  <c r="AF31" i="2"/>
  <c r="AF131" i="2"/>
  <c r="AF99" i="2"/>
  <c r="AG49" i="2"/>
  <c r="AG95" i="2"/>
  <c r="AG126" i="2"/>
  <c r="AG40" i="2"/>
  <c r="AG98" i="2"/>
  <c r="AG110" i="2"/>
  <c r="AG62" i="2"/>
  <c r="AG100" i="2"/>
  <c r="AG22" i="2"/>
  <c r="AG58" i="2"/>
  <c r="AG51" i="2"/>
  <c r="AG91" i="2"/>
  <c r="AG31" i="2"/>
  <c r="AG131" i="2"/>
  <c r="AG99" i="2"/>
  <c r="AG76" i="2"/>
  <c r="AG57" i="2"/>
  <c r="AG125" i="2"/>
  <c r="AG44" i="2"/>
  <c r="AG93" i="2"/>
  <c r="AG88" i="2"/>
  <c r="AJ49" i="2"/>
  <c r="AJ95" i="2"/>
  <c r="AJ126" i="2"/>
  <c r="AJ40" i="2"/>
  <c r="AJ98" i="2"/>
  <c r="AJ110" i="2"/>
  <c r="AJ62" i="2"/>
  <c r="AJ100" i="2"/>
  <c r="AJ22" i="2"/>
  <c r="AJ58" i="2"/>
  <c r="AJ51" i="2"/>
  <c r="AJ91" i="2"/>
  <c r="AJ31" i="2"/>
  <c r="AJ131" i="2"/>
  <c r="AJ99" i="2"/>
  <c r="AK49" i="2"/>
  <c r="AK95" i="2"/>
  <c r="AK126" i="2"/>
  <c r="AK40" i="2"/>
  <c r="AK98" i="2"/>
  <c r="AK110" i="2"/>
  <c r="AK62" i="2"/>
  <c r="AK100" i="2"/>
  <c r="AK22" i="2"/>
  <c r="AK58" i="2"/>
  <c r="AK51" i="2"/>
  <c r="AK91" i="2"/>
  <c r="AK31" i="2"/>
  <c r="AK131" i="2"/>
  <c r="AK99" i="2"/>
  <c r="AL49" i="2"/>
  <c r="AL95" i="2"/>
  <c r="AL126" i="2"/>
  <c r="AL40" i="2"/>
  <c r="AL98" i="2"/>
  <c r="AL110" i="2"/>
  <c r="AL62" i="2"/>
  <c r="AL100" i="2"/>
  <c r="AL22" i="2"/>
  <c r="AL58" i="2"/>
  <c r="AL51" i="2"/>
  <c r="AL91" i="2"/>
  <c r="AL31" i="2"/>
  <c r="AL131" i="2"/>
  <c r="AL99" i="2"/>
  <c r="AL76" i="2"/>
  <c r="AL57" i="2"/>
  <c r="AL125" i="2"/>
  <c r="AL44" i="2"/>
  <c r="AL93" i="2"/>
  <c r="AM49" i="2"/>
  <c r="AM100" i="2"/>
  <c r="AM131" i="2"/>
  <c r="AM76" i="2"/>
  <c r="AM125" i="2"/>
  <c r="AM93" i="2"/>
  <c r="AJ4" i="2"/>
  <c r="AL16" i="2"/>
  <c r="AF55" i="2"/>
  <c r="AJ9" i="2"/>
  <c r="AL124" i="2"/>
  <c r="AF21" i="2"/>
  <c r="AJ25" i="2"/>
  <c r="AL42" i="2"/>
  <c r="AF56" i="2"/>
  <c r="AJ32" i="2"/>
  <c r="AL7" i="2"/>
  <c r="AF97" i="2"/>
  <c r="AJ23" i="2"/>
  <c r="AF47" i="2"/>
  <c r="AJ106" i="2"/>
  <c r="AL132" i="2"/>
  <c r="AF46" i="2"/>
  <c r="AJ101" i="2"/>
  <c r="AL119" i="2"/>
  <c r="AF134" i="2"/>
  <c r="AJ87" i="2"/>
  <c r="AL82" i="2"/>
  <c r="AF27" i="2"/>
  <c r="AJ10" i="2"/>
  <c r="AL81" i="2"/>
  <c r="AF84" i="2"/>
  <c r="AJ59" i="2"/>
  <c r="AF103" i="2"/>
  <c r="AJ17" i="2"/>
  <c r="AL83" i="2"/>
  <c r="AJ105" i="2"/>
  <c r="AL19" i="2"/>
  <c r="AF14" i="2"/>
  <c r="AJ121" i="2"/>
  <c r="AF127" i="2"/>
  <c r="AL116" i="2"/>
  <c r="AF67" i="2"/>
  <c r="AJ104" i="2"/>
  <c r="AL8" i="2"/>
  <c r="AF78" i="2"/>
  <c r="AF109" i="2"/>
  <c r="AF50" i="2"/>
  <c r="AF133" i="2"/>
  <c r="AF75" i="2"/>
  <c r="AF53" i="2"/>
  <c r="AF20" i="2"/>
  <c r="AF102" i="2"/>
  <c r="AF112" i="2"/>
  <c r="AF123" i="2"/>
  <c r="AF66" i="2"/>
  <c r="AF118" i="2"/>
  <c r="AF54" i="2"/>
  <c r="AF45" i="2"/>
  <c r="AF114" i="2"/>
  <c r="AF68" i="2"/>
  <c r="AF113" i="2"/>
  <c r="AF61" i="2"/>
  <c r="AF129" i="2"/>
  <c r="AF120" i="2"/>
  <c r="AF13" i="2"/>
  <c r="AF89" i="2"/>
  <c r="AF71" i="2"/>
  <c r="AF26" i="2"/>
  <c r="AF36" i="2"/>
  <c r="AF111" i="2"/>
  <c r="AF80" i="2"/>
  <c r="AF70" i="2"/>
  <c r="AF122" i="2"/>
  <c r="AF73" i="2"/>
  <c r="AF43" i="2"/>
  <c r="AF57" i="2"/>
  <c r="AF44" i="2"/>
  <c r="AF88" i="2"/>
  <c r="AK4" i="2"/>
  <c r="AM16" i="2"/>
  <c r="AG55" i="2"/>
  <c r="AK9" i="2"/>
  <c r="AM124" i="2"/>
  <c r="AG21" i="2"/>
  <c r="AK25" i="2"/>
  <c r="AM42" i="2"/>
  <c r="AG56" i="2"/>
  <c r="AK32" i="2"/>
  <c r="AM7" i="2"/>
  <c r="AG97" i="2"/>
  <c r="AK23" i="2"/>
  <c r="AG47" i="2"/>
  <c r="AK106" i="2"/>
  <c r="AM132" i="2"/>
  <c r="AG46" i="2"/>
  <c r="AK101" i="2"/>
  <c r="AM119" i="2"/>
  <c r="AG134" i="2"/>
  <c r="AK87" i="2"/>
  <c r="AM82" i="2"/>
  <c r="AG27" i="2"/>
  <c r="AK10" i="2"/>
  <c r="AM81" i="2"/>
  <c r="AG84" i="2"/>
  <c r="AK59" i="2"/>
  <c r="AG103" i="2"/>
  <c r="AK17" i="2"/>
  <c r="AM83" i="2"/>
  <c r="AK105" i="2"/>
  <c r="AM19" i="2"/>
  <c r="AG14" i="2"/>
  <c r="AK121" i="2"/>
  <c r="AG127" i="2"/>
  <c r="AM116" i="2"/>
  <c r="AG67" i="2"/>
  <c r="AK104" i="2"/>
  <c r="AM8" i="2"/>
  <c r="AG78" i="2"/>
  <c r="AG109" i="2"/>
  <c r="AG50" i="2"/>
  <c r="AG133" i="2"/>
  <c r="AG75" i="2"/>
  <c r="AG53" i="2"/>
  <c r="AG20" i="2"/>
  <c r="AG102" i="2"/>
  <c r="AG112" i="2"/>
  <c r="AG123" i="2"/>
  <c r="AG66" i="2"/>
  <c r="AG118" i="2"/>
  <c r="AG54" i="2"/>
  <c r="AG45" i="2"/>
  <c r="AG114" i="2"/>
  <c r="AG68" i="2"/>
  <c r="AG113" i="2"/>
  <c r="AG61" i="2"/>
  <c r="AG129" i="2"/>
  <c r="AG120" i="2"/>
  <c r="AG13" i="2"/>
  <c r="AG89" i="2"/>
  <c r="AG71" i="2"/>
  <c r="AG26" i="2"/>
  <c r="AG36" i="2"/>
  <c r="AG111" i="2"/>
  <c r="AG80" i="2"/>
  <c r="AM95" i="2"/>
  <c r="AM22" i="2"/>
  <c r="AM99" i="2"/>
  <c r="AJ57" i="2"/>
  <c r="AJ44" i="2"/>
  <c r="AJ88" i="2"/>
  <c r="AL4" i="2"/>
  <c r="AF24" i="2"/>
  <c r="AJ55" i="2"/>
  <c r="AL9" i="2"/>
  <c r="AF60" i="2"/>
  <c r="AJ21" i="2"/>
  <c r="AL25" i="2"/>
  <c r="AF52" i="2"/>
  <c r="AJ56" i="2"/>
  <c r="AL32" i="2"/>
  <c r="AF69" i="2"/>
  <c r="AJ97" i="2"/>
  <c r="AL23" i="2"/>
  <c r="AF29" i="2"/>
  <c r="AJ47" i="2"/>
  <c r="AL106" i="2"/>
  <c r="AF48" i="2"/>
  <c r="AJ46" i="2"/>
  <c r="AL101" i="2"/>
  <c r="AF94" i="2"/>
  <c r="AJ134" i="2"/>
  <c r="AL87" i="2"/>
  <c r="AF107" i="2"/>
  <c r="AJ27" i="2"/>
  <c r="AL10" i="2"/>
  <c r="AF37" i="2"/>
  <c r="AJ84" i="2"/>
  <c r="AL59" i="2"/>
  <c r="AF28" i="2"/>
  <c r="AJ103" i="2"/>
  <c r="AL17" i="2"/>
  <c r="AF33" i="2"/>
  <c r="AL105" i="2"/>
  <c r="AF72" i="2"/>
  <c r="AJ14" i="2"/>
  <c r="AL121" i="2"/>
  <c r="AF115" i="2"/>
  <c r="AJ127" i="2"/>
  <c r="AF65" i="2"/>
  <c r="AJ67" i="2"/>
  <c r="AL104" i="2"/>
  <c r="AF38" i="2"/>
  <c r="AM126" i="2"/>
  <c r="AM58" i="2"/>
  <c r="AK57" i="2"/>
  <c r="AK44" i="2"/>
  <c r="AK88" i="2"/>
  <c r="AM4" i="2"/>
  <c r="AG24" i="2"/>
  <c r="AK55" i="2"/>
  <c r="AM9" i="2"/>
  <c r="AG60" i="2"/>
  <c r="AK21" i="2"/>
  <c r="AM25" i="2"/>
  <c r="AG52" i="2"/>
  <c r="AK56" i="2"/>
  <c r="AM32" i="2"/>
  <c r="AG69" i="2"/>
  <c r="AK97" i="2"/>
  <c r="AM23" i="2"/>
  <c r="AG29" i="2"/>
  <c r="AK47" i="2"/>
  <c r="AM106" i="2"/>
  <c r="AG48" i="2"/>
  <c r="AK46" i="2"/>
  <c r="AM101" i="2"/>
  <c r="AG94" i="2"/>
  <c r="AK134" i="2"/>
  <c r="AM87" i="2"/>
  <c r="AG107" i="2"/>
  <c r="AK27" i="2"/>
  <c r="AM10" i="2"/>
  <c r="AG37" i="2"/>
  <c r="AK84" i="2"/>
  <c r="AM59" i="2"/>
  <c r="AG28" i="2"/>
  <c r="AK103" i="2"/>
  <c r="AM17" i="2"/>
  <c r="AG33" i="2"/>
  <c r="AM105" i="2"/>
  <c r="AG72" i="2"/>
  <c r="AK14" i="2"/>
  <c r="AM121" i="2"/>
  <c r="AG115" i="2"/>
  <c r="AK127" i="2"/>
  <c r="AG65" i="2"/>
  <c r="AK67" i="2"/>
  <c r="AM104" i="2"/>
  <c r="AG38" i="2"/>
  <c r="AM40" i="2"/>
  <c r="AM51" i="2"/>
  <c r="AM57" i="2"/>
  <c r="AM44" i="2"/>
  <c r="AL88" i="2"/>
  <c r="AF16" i="2"/>
  <c r="AJ24" i="2"/>
  <c r="AL55" i="2"/>
  <c r="AF124" i="2"/>
  <c r="AJ60" i="2"/>
  <c r="AL21" i="2"/>
  <c r="AF42" i="2"/>
  <c r="AJ52" i="2"/>
  <c r="AL56" i="2"/>
  <c r="AF7" i="2"/>
  <c r="AJ69" i="2"/>
  <c r="AL97" i="2"/>
  <c r="AJ29" i="2"/>
  <c r="AL47" i="2"/>
  <c r="AF132" i="2"/>
  <c r="AJ48" i="2"/>
  <c r="AL46" i="2"/>
  <c r="AF119" i="2"/>
  <c r="AJ94" i="2"/>
  <c r="AL134" i="2"/>
  <c r="AF82" i="2"/>
  <c r="AJ107" i="2"/>
  <c r="AL27" i="2"/>
  <c r="AF81" i="2"/>
  <c r="AJ37" i="2"/>
  <c r="AL84" i="2"/>
  <c r="AJ28" i="2"/>
  <c r="AL103" i="2"/>
  <c r="AF83" i="2"/>
  <c r="AJ33" i="2"/>
  <c r="AF19" i="2"/>
  <c r="AJ72" i="2"/>
  <c r="AL14" i="2"/>
  <c r="AJ115" i="2"/>
  <c r="AL127" i="2"/>
  <c r="AF116" i="2"/>
  <c r="AJ65" i="2"/>
  <c r="AL67" i="2"/>
  <c r="AF8" i="2"/>
  <c r="AJ38" i="2"/>
  <c r="AJ78" i="2"/>
  <c r="AJ109" i="2"/>
  <c r="AJ50" i="2"/>
  <c r="AJ133" i="2"/>
  <c r="AJ75" i="2"/>
  <c r="AJ53" i="2"/>
  <c r="AJ20" i="2"/>
  <c r="AJ102" i="2"/>
  <c r="AJ112" i="2"/>
  <c r="AJ123" i="2"/>
  <c r="AJ66" i="2"/>
  <c r="AJ118" i="2"/>
  <c r="AJ54" i="2"/>
  <c r="AJ45" i="2"/>
  <c r="AJ114" i="2"/>
  <c r="AJ68" i="2"/>
  <c r="AJ113" i="2"/>
  <c r="AJ61" i="2"/>
  <c r="AJ129" i="2"/>
  <c r="AJ120" i="2"/>
  <c r="AM98" i="2"/>
  <c r="AM91" i="2"/>
  <c r="AF76" i="2"/>
  <c r="AF125" i="2"/>
  <c r="AU125" i="2" s="1"/>
  <c r="AF93" i="2"/>
  <c r="AU93" i="2" s="1"/>
  <c r="AM88" i="2"/>
  <c r="AG16" i="2"/>
  <c r="AK24" i="2"/>
  <c r="AM55" i="2"/>
  <c r="AG124" i="2"/>
  <c r="AK60" i="2"/>
  <c r="AM21" i="2"/>
  <c r="AG42" i="2"/>
  <c r="AK52" i="2"/>
  <c r="AM56" i="2"/>
  <c r="AG7" i="2"/>
  <c r="AK69" i="2"/>
  <c r="AM97" i="2"/>
  <c r="AK29" i="2"/>
  <c r="AM47" i="2"/>
  <c r="AG132" i="2"/>
  <c r="AK48" i="2"/>
  <c r="AM46" i="2"/>
  <c r="AG119" i="2"/>
  <c r="AK94" i="2"/>
  <c r="AM134" i="2"/>
  <c r="AG82" i="2"/>
  <c r="AK107" i="2"/>
  <c r="AM27" i="2"/>
  <c r="AG81" i="2"/>
  <c r="AK37" i="2"/>
  <c r="AM84" i="2"/>
  <c r="AK28" i="2"/>
  <c r="AM103" i="2"/>
  <c r="AG83" i="2"/>
  <c r="AK33" i="2"/>
  <c r="AG19" i="2"/>
  <c r="AK72" i="2"/>
  <c r="AM14" i="2"/>
  <c r="AK115" i="2"/>
  <c r="AM127" i="2"/>
  <c r="AG116" i="2"/>
  <c r="AK65" i="2"/>
  <c r="AM67" i="2"/>
  <c r="AG8" i="2"/>
  <c r="AM110" i="2"/>
  <c r="AM31" i="2"/>
  <c r="AJ76" i="2"/>
  <c r="AJ125" i="2"/>
  <c r="AJ93" i="2"/>
  <c r="AF4" i="2"/>
  <c r="AJ16" i="2"/>
  <c r="AL24" i="2"/>
  <c r="AF9" i="2"/>
  <c r="AJ124" i="2"/>
  <c r="AL60" i="2"/>
  <c r="AF25" i="2"/>
  <c r="AJ42" i="2"/>
  <c r="AL52" i="2"/>
  <c r="AF32" i="2"/>
  <c r="AJ7" i="2"/>
  <c r="AL69" i="2"/>
  <c r="AF23" i="2"/>
  <c r="AL29" i="2"/>
  <c r="AF106" i="2"/>
  <c r="AJ132" i="2"/>
  <c r="AL48" i="2"/>
  <c r="AF101" i="2"/>
  <c r="AJ119" i="2"/>
  <c r="AL94" i="2"/>
  <c r="AF87" i="2"/>
  <c r="AJ82" i="2"/>
  <c r="AL107" i="2"/>
  <c r="AF10" i="2"/>
  <c r="AJ81" i="2"/>
  <c r="AL37" i="2"/>
  <c r="AF59" i="2"/>
  <c r="AL28" i="2"/>
  <c r="AF17" i="2"/>
  <c r="AJ83" i="2"/>
  <c r="AL33" i="2"/>
  <c r="AF105" i="2"/>
  <c r="AJ19" i="2"/>
  <c r="AL72" i="2"/>
  <c r="AF121" i="2"/>
  <c r="AL115" i="2"/>
  <c r="AJ116" i="2"/>
  <c r="AL65" i="2"/>
  <c r="AF104" i="2"/>
  <c r="AJ8" i="2"/>
  <c r="AL38" i="2"/>
  <c r="AL78" i="2"/>
  <c r="AL109" i="2"/>
  <c r="AL50" i="2"/>
  <c r="AM62" i="2"/>
  <c r="AG9" i="2"/>
  <c r="AM69" i="2"/>
  <c r="AK119" i="2"/>
  <c r="AG59" i="2"/>
  <c r="AM72" i="2"/>
  <c r="AK8" i="2"/>
  <c r="AM50" i="2"/>
  <c r="AL53" i="2"/>
  <c r="AM123" i="2"/>
  <c r="AL54" i="2"/>
  <c r="AK68" i="2"/>
  <c r="AM113" i="2"/>
  <c r="AL120" i="2"/>
  <c r="AL89" i="2"/>
  <c r="AL26" i="2"/>
  <c r="AL80" i="2"/>
  <c r="AJ122" i="2"/>
  <c r="AM73" i="2"/>
  <c r="AK43" i="2"/>
  <c r="AM77" i="2"/>
  <c r="AG63" i="2"/>
  <c r="AK11" i="2"/>
  <c r="AM79" i="2"/>
  <c r="AK124" i="2"/>
  <c r="AG23" i="2"/>
  <c r="AM94" i="2"/>
  <c r="AG121" i="2"/>
  <c r="AK38" i="2"/>
  <c r="AK133" i="2"/>
  <c r="AM53" i="2"/>
  <c r="AK66" i="2"/>
  <c r="AM54" i="2"/>
  <c r="AL68" i="2"/>
  <c r="AK61" i="2"/>
  <c r="AM120" i="2"/>
  <c r="AM89" i="2"/>
  <c r="AM26" i="2"/>
  <c r="AM80" i="2"/>
  <c r="AK122" i="2"/>
  <c r="AL43" i="2"/>
  <c r="AF130" i="2"/>
  <c r="AJ63" i="2"/>
  <c r="AL11" i="2"/>
  <c r="AK76" i="2"/>
  <c r="AM60" i="2"/>
  <c r="AG87" i="2"/>
  <c r="AM28" i="2"/>
  <c r="AM38" i="2"/>
  <c r="AL133" i="2"/>
  <c r="AK20" i="2"/>
  <c r="AL66" i="2"/>
  <c r="AK45" i="2"/>
  <c r="AM68" i="2"/>
  <c r="AL61" i="2"/>
  <c r="AJ13" i="2"/>
  <c r="AJ71" i="2"/>
  <c r="AJ36" i="2"/>
  <c r="AJ111" i="2"/>
  <c r="AG70" i="2"/>
  <c r="AL122" i="2"/>
  <c r="AM43" i="2"/>
  <c r="AG130" i="2"/>
  <c r="AK63" i="2"/>
  <c r="AM11" i="2"/>
  <c r="AK125" i="2"/>
  <c r="AG25" i="2"/>
  <c r="AM29" i="2"/>
  <c r="AK82" i="2"/>
  <c r="AG17" i="2"/>
  <c r="AM115" i="2"/>
  <c r="AK78" i="2"/>
  <c r="AM133" i="2"/>
  <c r="AL20" i="2"/>
  <c r="AK112" i="2"/>
  <c r="AM66" i="2"/>
  <c r="AL45" i="2"/>
  <c r="AM61" i="2"/>
  <c r="AK13" i="2"/>
  <c r="AK71" i="2"/>
  <c r="AK36" i="2"/>
  <c r="AK111" i="2"/>
  <c r="AJ70" i="2"/>
  <c r="AM122" i="2"/>
  <c r="AF77" i="2"/>
  <c r="AJ130" i="2"/>
  <c r="AL63" i="2"/>
  <c r="AF79" i="2"/>
  <c r="AK93" i="2"/>
  <c r="AK42" i="2"/>
  <c r="AG106" i="2"/>
  <c r="AM107" i="2"/>
  <c r="AK83" i="2"/>
  <c r="AM78" i="2"/>
  <c r="AK75" i="2"/>
  <c r="AM20" i="2"/>
  <c r="AL112" i="2"/>
  <c r="AK118" i="2"/>
  <c r="AM45" i="2"/>
  <c r="AK129" i="2"/>
  <c r="AL13" i="2"/>
  <c r="AL71" i="2"/>
  <c r="AL36" i="2"/>
  <c r="AL111" i="2"/>
  <c r="AK70" i="2"/>
  <c r="AG73" i="2"/>
  <c r="AG77" i="2"/>
  <c r="AK130" i="2"/>
  <c r="AM63" i="2"/>
  <c r="AG79" i="2"/>
  <c r="AG4" i="2"/>
  <c r="AM52" i="2"/>
  <c r="AK132" i="2"/>
  <c r="AG10" i="2"/>
  <c r="AM33" i="2"/>
  <c r="AK116" i="2"/>
  <c r="AK109" i="2"/>
  <c r="AL75" i="2"/>
  <c r="AK102" i="2"/>
  <c r="AM112" i="2"/>
  <c r="AL118" i="2"/>
  <c r="AK114" i="2"/>
  <c r="AL129" i="2"/>
  <c r="AM13" i="2"/>
  <c r="AM71" i="2"/>
  <c r="AM36" i="2"/>
  <c r="AM111" i="2"/>
  <c r="AL70" i="2"/>
  <c r="AJ73" i="2"/>
  <c r="AJ77" i="2"/>
  <c r="AL130" i="2"/>
  <c r="AF11" i="2"/>
  <c r="AJ79" i="2"/>
  <c r="AK16" i="2"/>
  <c r="AG32" i="2"/>
  <c r="AM48" i="2"/>
  <c r="AK81" i="2"/>
  <c r="AG105" i="2"/>
  <c r="AM65" i="2"/>
  <c r="AM109" i="2"/>
  <c r="AM75" i="2"/>
  <c r="AL102" i="2"/>
  <c r="AK123" i="2"/>
  <c r="AM118" i="2"/>
  <c r="AL114" i="2"/>
  <c r="AK113" i="2"/>
  <c r="AM129" i="2"/>
  <c r="AJ89" i="2"/>
  <c r="AJ26" i="2"/>
  <c r="AJ80" i="2"/>
  <c r="AM70" i="2"/>
  <c r="AK73" i="2"/>
  <c r="AG43" i="2"/>
  <c r="AK77" i="2"/>
  <c r="AM130" i="2"/>
  <c r="AG11" i="2"/>
  <c r="AK79" i="2"/>
  <c r="AM24" i="2"/>
  <c r="AK7" i="2"/>
  <c r="AG101" i="2"/>
  <c r="AM37" i="2"/>
  <c r="AK19" i="2"/>
  <c r="AG104" i="2"/>
  <c r="AK50" i="2"/>
  <c r="AK53" i="2"/>
  <c r="AM102" i="2"/>
  <c r="AL123" i="2"/>
  <c r="AK54" i="2"/>
  <c r="AM114" i="2"/>
  <c r="AL113" i="2"/>
  <c r="AK120" i="2"/>
  <c r="AK89" i="2"/>
  <c r="AK26" i="2"/>
  <c r="AK80" i="2"/>
  <c r="AG122" i="2"/>
  <c r="AL73" i="2"/>
  <c r="AJ43" i="2"/>
  <c r="AL77" i="2"/>
  <c r="AF63" i="2"/>
  <c r="AJ11" i="2"/>
  <c r="AL79" i="2"/>
  <c r="AM30" i="2"/>
  <c r="AF30" i="2"/>
  <c r="AG30" i="2"/>
  <c r="AL30" i="2"/>
  <c r="AK30" i="2"/>
  <c r="AJ30" i="2"/>
  <c r="L22" i="2"/>
  <c r="M118" i="2"/>
  <c r="M22" i="2"/>
  <c r="O22" i="2"/>
  <c r="P65" i="2"/>
  <c r="R94" i="2"/>
  <c r="P22" i="2"/>
  <c r="P50" i="2"/>
  <c r="X42" i="2"/>
  <c r="Y57" i="2"/>
  <c r="Z65" i="2"/>
  <c r="M109" i="2"/>
  <c r="X4" i="2"/>
  <c r="R55" i="2"/>
  <c r="M102" i="2"/>
  <c r="M49" i="2"/>
  <c r="R96" i="2"/>
  <c r="R51" i="2"/>
  <c r="O35" i="2"/>
  <c r="Z24" i="2"/>
  <c r="P121" i="2"/>
  <c r="R132" i="2"/>
  <c r="O69" i="2"/>
  <c r="P51" i="2"/>
  <c r="P71" i="2"/>
  <c r="R23" i="2"/>
  <c r="O56" i="2"/>
  <c r="P14" i="2"/>
  <c r="R113" i="2"/>
  <c r="R9" i="2"/>
  <c r="M106" i="2"/>
  <c r="M58" i="2"/>
  <c r="P108" i="2"/>
  <c r="R11" i="2"/>
  <c r="Y111" i="2"/>
  <c r="L57" i="2"/>
  <c r="L98" i="2"/>
  <c r="O19" i="2"/>
  <c r="P82" i="2"/>
  <c r="P94" i="2"/>
  <c r="R118" i="2"/>
  <c r="M44" i="2"/>
  <c r="Z57" i="2"/>
  <c r="Y116" i="2"/>
  <c r="W111" i="2"/>
  <c r="L118" i="2"/>
  <c r="O114" i="2"/>
  <c r="R45" i="2"/>
  <c r="L131" i="2"/>
  <c r="L94" i="2"/>
  <c r="N94" i="2" s="1"/>
  <c r="O47" i="2"/>
  <c r="L103" i="2"/>
  <c r="O65" i="2"/>
  <c r="O118" i="2"/>
  <c r="O94" i="2"/>
  <c r="P119" i="2"/>
  <c r="R65" i="2"/>
  <c r="R8" i="2"/>
  <c r="R126" i="2"/>
  <c r="Y40" i="2"/>
  <c r="Z118" i="2"/>
  <c r="Z111" i="2"/>
  <c r="Y94" i="2"/>
  <c r="Y24" i="2"/>
  <c r="L110" i="2"/>
  <c r="M21" i="2"/>
  <c r="P61" i="2"/>
  <c r="Z8" i="2"/>
  <c r="Y118" i="2"/>
  <c r="M57" i="2"/>
  <c r="O133" i="2"/>
  <c r="L14" i="2"/>
  <c r="M9" i="2"/>
  <c r="M35" i="2"/>
  <c r="L51" i="2"/>
  <c r="O13" i="2"/>
  <c r="O81" i="2"/>
  <c r="O58" i="2"/>
  <c r="P118" i="2"/>
  <c r="E22" i="3"/>
  <c r="P80" i="2"/>
  <c r="R72" i="2"/>
  <c r="R6" i="2"/>
  <c r="R66" i="2"/>
  <c r="Y96" i="2"/>
  <c r="Z93" i="2"/>
  <c r="Y134" i="2"/>
  <c r="Y65" i="2"/>
  <c r="Y22" i="2"/>
  <c r="W65" i="2"/>
  <c r="M128" i="2"/>
  <c r="O126" i="2"/>
  <c r="O46" i="2"/>
  <c r="O57" i="2"/>
  <c r="P57" i="2"/>
  <c r="P75" i="2"/>
  <c r="P31" i="2"/>
  <c r="R22" i="2"/>
  <c r="Z40" i="2"/>
  <c r="Y8" i="2"/>
  <c r="R90" i="2"/>
  <c r="L119" i="2"/>
  <c r="M127" i="2"/>
  <c r="L133" i="2"/>
  <c r="L54" i="2"/>
  <c r="M129" i="2"/>
  <c r="O15" i="2"/>
  <c r="O12" i="2"/>
  <c r="L132" i="2"/>
  <c r="L56" i="2"/>
  <c r="M17" i="2"/>
  <c r="M126" i="2"/>
  <c r="M62" i="2"/>
  <c r="L19" i="2"/>
  <c r="M36" i="2"/>
  <c r="M104" i="2"/>
  <c r="M123" i="2"/>
  <c r="M28" i="2"/>
  <c r="L102" i="2"/>
  <c r="N102" i="2" s="1"/>
  <c r="L62" i="2"/>
  <c r="M97" i="2"/>
  <c r="M113" i="2"/>
  <c r="M56" i="2"/>
  <c r="L58" i="2"/>
  <c r="O52" i="2"/>
  <c r="O132" i="2"/>
  <c r="O48" i="2"/>
  <c r="O79" i="2"/>
  <c r="O130" i="2"/>
  <c r="O100" i="2"/>
  <c r="O107" i="2"/>
  <c r="O87" i="2"/>
  <c r="O127" i="2"/>
  <c r="O83" i="2"/>
  <c r="O62" i="2"/>
  <c r="O43" i="2"/>
  <c r="P106" i="2"/>
  <c r="P95" i="2"/>
  <c r="P88" i="2"/>
  <c r="P27" i="2"/>
  <c r="P18" i="2"/>
  <c r="P128" i="2"/>
  <c r="P30" i="2"/>
  <c r="P58" i="2"/>
  <c r="P29" i="2"/>
  <c r="P110" i="2"/>
  <c r="P124" i="2"/>
  <c r="P46" i="2"/>
  <c r="P56" i="2"/>
  <c r="R79" i="2"/>
  <c r="R30" i="2"/>
  <c r="R123" i="2"/>
  <c r="R133" i="2"/>
  <c r="R54" i="2"/>
  <c r="R7" i="2"/>
  <c r="R68" i="2"/>
  <c r="R129" i="2"/>
  <c r="R97" i="2"/>
  <c r="R32" i="2"/>
  <c r="R15" i="2"/>
  <c r="R114" i="2"/>
  <c r="R81" i="2"/>
  <c r="L76" i="2"/>
  <c r="M20" i="2"/>
  <c r="M114" i="2"/>
  <c r="M121" i="2"/>
  <c r="L124" i="2"/>
  <c r="L109" i="2"/>
  <c r="O101" i="2"/>
  <c r="L52" i="2"/>
  <c r="L120" i="2"/>
  <c r="L37" i="2"/>
  <c r="M110" i="2"/>
  <c r="M14" i="2"/>
  <c r="L97" i="2"/>
  <c r="L35" i="2"/>
  <c r="L49" i="2"/>
  <c r="L122" i="2"/>
  <c r="M48" i="2"/>
  <c r="M41" i="2"/>
  <c r="L100" i="2"/>
  <c r="L6" i="2"/>
  <c r="L128" i="2"/>
  <c r="M99" i="2"/>
  <c r="M115" i="2"/>
  <c r="M43" i="2"/>
  <c r="L43" i="2"/>
  <c r="O31" i="2"/>
  <c r="O71" i="2"/>
  <c r="O45" i="2"/>
  <c r="O105" i="2"/>
  <c r="O68" i="2"/>
  <c r="O32" i="2"/>
  <c r="O14" i="2"/>
  <c r="O18" i="2"/>
  <c r="O128" i="2"/>
  <c r="O103" i="2"/>
  <c r="E7" i="3"/>
  <c r="P17" i="2"/>
  <c r="P131" i="2"/>
  <c r="P89" i="2"/>
  <c r="P28" i="2"/>
  <c r="P129" i="2"/>
  <c r="P77" i="2"/>
  <c r="P120" i="2"/>
  <c r="P79" i="2"/>
  <c r="P130" i="2"/>
  <c r="P97" i="2"/>
  <c r="P38" i="2"/>
  <c r="R62" i="2"/>
  <c r="R63" i="2"/>
  <c r="R103" i="2"/>
  <c r="R125" i="2"/>
  <c r="R101" i="2"/>
  <c r="R43" i="2"/>
  <c r="R29" i="2"/>
  <c r="R130" i="2"/>
  <c r="R52" i="2"/>
  <c r="R110" i="2"/>
  <c r="R50" i="2"/>
  <c r="R56" i="2"/>
  <c r="R105" i="2"/>
  <c r="R35" i="2"/>
  <c r="L15" i="2"/>
  <c r="M101" i="2"/>
  <c r="M51" i="2"/>
  <c r="M7" i="2"/>
  <c r="O38" i="2"/>
  <c r="L31" i="2"/>
  <c r="M98" i="2"/>
  <c r="M23" i="2"/>
  <c r="M15" i="2"/>
  <c r="L105" i="2"/>
  <c r="L101" i="2"/>
  <c r="L121" i="2"/>
  <c r="L38" i="2"/>
  <c r="M32" i="2"/>
  <c r="M26" i="2"/>
  <c r="L59" i="2"/>
  <c r="L108" i="2"/>
  <c r="L130" i="2"/>
  <c r="M100" i="2"/>
  <c r="M119" i="2"/>
  <c r="M38" i="2"/>
  <c r="L113" i="2"/>
  <c r="O20" i="2"/>
  <c r="O78" i="2"/>
  <c r="O96" i="2"/>
  <c r="O66" i="2"/>
  <c r="O109" i="2"/>
  <c r="O82" i="2"/>
  <c r="O44" i="2"/>
  <c r="O37" i="2"/>
  <c r="O89" i="2"/>
  <c r="O28" i="2"/>
  <c r="O59" i="2"/>
  <c r="P73" i="2"/>
  <c r="P23" i="2"/>
  <c r="P123" i="2"/>
  <c r="P19" i="2"/>
  <c r="P90" i="2"/>
  <c r="P98" i="2"/>
  <c r="P99" i="2"/>
  <c r="P43" i="2"/>
  <c r="P85" i="2"/>
  <c r="P9" i="2"/>
  <c r="P45" i="2"/>
  <c r="P100" i="2"/>
  <c r="P86" i="2"/>
  <c r="R26" i="2"/>
  <c r="R58" i="2"/>
  <c r="R104" i="2"/>
  <c r="R127" i="2"/>
  <c r="R117" i="2"/>
  <c r="R121" i="2"/>
  <c r="R46" i="2"/>
  <c r="R75" i="2"/>
  <c r="R64" i="2"/>
  <c r="R5" i="2"/>
  <c r="R131" i="2"/>
  <c r="R95" i="2"/>
  <c r="R12" i="2"/>
  <c r="V93" i="2"/>
  <c r="M112" i="2"/>
  <c r="L115" i="2"/>
  <c r="L41" i="2"/>
  <c r="M27" i="2"/>
  <c r="M103" i="2"/>
  <c r="O110" i="2"/>
  <c r="O54" i="2"/>
  <c r="O11" i="2"/>
  <c r="O98" i="2"/>
  <c r="P133" i="2"/>
  <c r="P102" i="2"/>
  <c r="E3" i="3"/>
  <c r="P103" i="2"/>
  <c r="P78" i="2"/>
  <c r="P13" i="2"/>
  <c r="P126" i="2"/>
  <c r="P96" i="2"/>
  <c r="O63" i="2"/>
  <c r="P105" i="2"/>
  <c r="P66" i="2"/>
  <c r="R14" i="2"/>
  <c r="R61" i="2"/>
  <c r="R86" i="2"/>
  <c r="R82" i="2"/>
  <c r="R37" i="2"/>
  <c r="R122" i="2"/>
  <c r="R39" i="2"/>
  <c r="R124" i="2"/>
  <c r="R13" i="2"/>
  <c r="R100" i="2"/>
  <c r="R89" i="2"/>
  <c r="R120" i="2"/>
  <c r="R109" i="2"/>
  <c r="L44" i="2"/>
  <c r="L106" i="2"/>
  <c r="M6" i="2"/>
  <c r="M132" i="2"/>
  <c r="L21" i="2"/>
  <c r="M50" i="2"/>
  <c r="O29" i="2"/>
  <c r="O49" i="2"/>
  <c r="O113" i="2"/>
  <c r="O41" i="2"/>
  <c r="O74" i="2"/>
  <c r="O7" i="2"/>
  <c r="P81" i="2"/>
  <c r="P104" i="2"/>
  <c r="L20" i="2"/>
  <c r="L127" i="2"/>
  <c r="M52" i="2"/>
  <c r="M120" i="2"/>
  <c r="M37" i="2"/>
  <c r="L125" i="2"/>
  <c r="L48" i="2"/>
  <c r="L26" i="2"/>
  <c r="M95" i="2"/>
  <c r="M131" i="2"/>
  <c r="L50" i="2"/>
  <c r="L114" i="2"/>
  <c r="M105" i="2"/>
  <c r="M122" i="2"/>
  <c r="M130" i="2"/>
  <c r="O77" i="2"/>
  <c r="O120" i="2"/>
  <c r="O90" i="2"/>
  <c r="O123" i="2"/>
  <c r="O6" i="2"/>
  <c r="O80" i="2"/>
  <c r="O50" i="2"/>
  <c r="O88" i="2"/>
  <c r="O27" i="2"/>
  <c r="O17" i="2"/>
  <c r="O121" i="2"/>
  <c r="O102" i="2"/>
  <c r="O76" i="2"/>
  <c r="O119" i="2"/>
  <c r="P12" i="2"/>
  <c r="P68" i="2"/>
  <c r="P32" i="2"/>
  <c r="P49" i="2"/>
  <c r="P21" i="2"/>
  <c r="P70" i="2"/>
  <c r="P59" i="2"/>
  <c r="P48" i="2"/>
  <c r="P15" i="2"/>
  <c r="P54" i="2"/>
  <c r="E18" i="3"/>
  <c r="P109" i="2"/>
  <c r="R48" i="2"/>
  <c r="R119" i="2"/>
  <c r="R108" i="2"/>
  <c r="R33" i="2"/>
  <c r="R76" i="2"/>
  <c r="R77" i="2"/>
  <c r="R70" i="2"/>
  <c r="R41" i="2"/>
  <c r="R71" i="2"/>
  <c r="R78" i="2"/>
  <c r="R38" i="2"/>
  <c r="R98" i="2"/>
  <c r="R21" i="2"/>
  <c r="L123" i="2"/>
  <c r="L9" i="2"/>
  <c r="L104" i="2"/>
  <c r="L7" i="2"/>
  <c r="L28" i="2"/>
  <c r="M54" i="2"/>
  <c r="O86" i="2"/>
  <c r="O5" i="2"/>
  <c r="O106" i="2"/>
  <c r="O70" i="2"/>
  <c r="P101" i="2"/>
  <c r="L17" i="2"/>
  <c r="L126" i="2"/>
  <c r="M124" i="2"/>
  <c r="M31" i="2"/>
  <c r="M96" i="2"/>
  <c r="L129" i="2"/>
  <c r="L32" i="2"/>
  <c r="L27" i="2"/>
  <c r="M19" i="2"/>
  <c r="M133" i="2"/>
  <c r="L96" i="2"/>
  <c r="M108" i="2"/>
  <c r="M59" i="2"/>
  <c r="M125" i="2"/>
  <c r="O85" i="2"/>
  <c r="O9" i="2"/>
  <c r="O95" i="2"/>
  <c r="O26" i="2"/>
  <c r="O108" i="2"/>
  <c r="O55" i="2"/>
  <c r="O125" i="2"/>
  <c r="O73" i="2"/>
  <c r="O23" i="2"/>
  <c r="O131" i="2"/>
  <c r="O21" i="2"/>
  <c r="O61" i="2"/>
  <c r="O122" i="2"/>
  <c r="P87" i="2"/>
  <c r="P127" i="2"/>
  <c r="P74" i="2"/>
  <c r="P69" i="2"/>
  <c r="P114" i="2"/>
  <c r="P76" i="2"/>
  <c r="P7" i="2"/>
  <c r="P26" i="2"/>
  <c r="P52" i="2"/>
  <c r="P132" i="2"/>
  <c r="P6" i="2"/>
  <c r="P5" i="2"/>
  <c r="P113" i="2"/>
  <c r="R47" i="2"/>
  <c r="R49" i="2"/>
  <c r="R17" i="2"/>
  <c r="R59" i="2"/>
  <c r="R87" i="2"/>
  <c r="R80" i="2"/>
  <c r="R18" i="2"/>
  <c r="R83" i="2"/>
  <c r="R106" i="2"/>
  <c r="R31" i="2"/>
  <c r="R34" i="2"/>
  <c r="R73" i="2"/>
  <c r="R16" i="2"/>
  <c r="M76" i="2"/>
  <c r="L23" i="2"/>
  <c r="L95" i="2"/>
  <c r="N95" i="2" s="1"/>
  <c r="O104" i="2"/>
  <c r="O124" i="2"/>
  <c r="O97" i="2"/>
  <c r="O75" i="2"/>
  <c r="O51" i="2"/>
  <c r="O30" i="2"/>
  <c r="O129" i="2"/>
  <c r="P44" i="2"/>
  <c r="P37" i="2"/>
  <c r="P11" i="2"/>
  <c r="P41" i="2"/>
  <c r="P83" i="2"/>
  <c r="P62" i="2"/>
  <c r="P47" i="2"/>
  <c r="P122" i="2"/>
  <c r="P63" i="2"/>
  <c r="P20" i="2"/>
  <c r="P35" i="2"/>
  <c r="P55" i="2"/>
  <c r="P125" i="2"/>
  <c r="R44" i="2"/>
  <c r="R28" i="2"/>
  <c r="R74" i="2"/>
  <c r="R88" i="2"/>
  <c r="R19" i="2"/>
  <c r="R85" i="2"/>
  <c r="R27" i="2"/>
  <c r="R69" i="2"/>
  <c r="R20" i="2"/>
  <c r="R128" i="2"/>
  <c r="R102" i="2"/>
  <c r="Y93" i="2"/>
  <c r="V118" i="2"/>
  <c r="R25" i="2"/>
  <c r="Y43" i="2"/>
  <c r="L107" i="2"/>
  <c r="M33" i="2"/>
  <c r="M34" i="2"/>
  <c r="L60" i="2"/>
  <c r="O36" i="2"/>
  <c r="E20" i="3"/>
  <c r="E11" i="3"/>
  <c r="E9" i="3"/>
  <c r="E5" i="3"/>
  <c r="P72" i="2"/>
  <c r="E25" i="3"/>
  <c r="R84" i="2"/>
  <c r="R60" i="2"/>
  <c r="V65" i="2"/>
  <c r="W66" i="2"/>
  <c r="M107" i="2"/>
  <c r="L99" i="2"/>
  <c r="O25" i="2"/>
  <c r="O115" i="2"/>
  <c r="E27" i="3"/>
  <c r="P112" i="2"/>
  <c r="E29" i="3"/>
  <c r="E8" i="3"/>
  <c r="E2" i="3"/>
  <c r="E23" i="3"/>
  <c r="R91" i="2"/>
  <c r="R67" i="2"/>
  <c r="W24" i="2"/>
  <c r="O72" i="2"/>
  <c r="E32" i="3"/>
  <c r="E19" i="3"/>
  <c r="E10" i="3"/>
  <c r="P33" i="2"/>
  <c r="R115" i="2"/>
  <c r="R99" i="2"/>
  <c r="P67" i="2"/>
  <c r="E31" i="3"/>
  <c r="E21" i="3"/>
  <c r="E24" i="3"/>
  <c r="P115" i="2"/>
  <c r="P10" i="2"/>
  <c r="E13" i="3"/>
  <c r="P91" i="2"/>
  <c r="R10" i="2"/>
  <c r="R92" i="2"/>
  <c r="L112" i="2"/>
  <c r="N112" i="2" s="1"/>
  <c r="L25" i="2"/>
  <c r="O84" i="2"/>
  <c r="O33" i="2"/>
  <c r="O92" i="2"/>
  <c r="O60" i="2"/>
  <c r="O112" i="2"/>
  <c r="P107" i="2"/>
  <c r="P34" i="2"/>
  <c r="E15" i="3"/>
  <c r="P36" i="2"/>
  <c r="E30" i="3"/>
  <c r="E6" i="3"/>
  <c r="R107" i="2"/>
  <c r="R36" i="2"/>
  <c r="W132" i="2"/>
  <c r="M25" i="2"/>
  <c r="M60" i="2"/>
  <c r="O10" i="2"/>
  <c r="O91" i="2"/>
  <c r="O34" i="2"/>
  <c r="O99" i="2"/>
  <c r="P84" i="2"/>
  <c r="E12" i="3"/>
  <c r="E14" i="3"/>
  <c r="E26" i="3"/>
  <c r="R112" i="2"/>
  <c r="Z68" i="2"/>
  <c r="L34" i="2"/>
  <c r="L36" i="2"/>
  <c r="L33" i="2"/>
  <c r="O67" i="2"/>
  <c r="P25" i="2"/>
  <c r="E16" i="3"/>
  <c r="E17" i="3"/>
  <c r="E28" i="3"/>
  <c r="E4" i="3"/>
  <c r="P92" i="2"/>
  <c r="P60" i="2"/>
  <c r="Z96" i="2"/>
  <c r="Y47" i="2"/>
  <c r="Z25" i="2"/>
  <c r="Z29" i="2"/>
  <c r="Z123" i="2"/>
  <c r="Y35" i="2"/>
  <c r="Y91" i="2"/>
  <c r="Y14" i="2"/>
  <c r="Y13" i="2"/>
  <c r="Y49" i="2"/>
  <c r="Y25" i="2"/>
  <c r="Z37" i="2"/>
  <c r="Y36" i="2"/>
  <c r="Y72" i="2"/>
  <c r="Z64" i="2"/>
  <c r="Y87" i="2"/>
  <c r="Z75" i="2"/>
  <c r="Z11" i="2"/>
  <c r="Z80" i="2"/>
  <c r="Y44" i="2"/>
  <c r="Z85" i="2"/>
  <c r="Z5" i="2"/>
  <c r="Y130" i="2"/>
  <c r="Z114" i="2"/>
  <c r="Z126" i="2"/>
  <c r="Z27" i="2"/>
  <c r="V109" i="2"/>
  <c r="Z99" i="2"/>
  <c r="AB75" i="2"/>
  <c r="V70" i="2"/>
  <c r="AB31" i="2"/>
  <c r="V101" i="2"/>
  <c r="AB7" i="2"/>
  <c r="V34" i="2"/>
  <c r="AB117" i="2"/>
  <c r="V59" i="2"/>
  <c r="Y73" i="2"/>
  <c r="Z105" i="2"/>
  <c r="Z56" i="2"/>
  <c r="Y16" i="2"/>
  <c r="Z55" i="2"/>
  <c r="Y125" i="2"/>
  <c r="Y12" i="2"/>
  <c r="Z122" i="2"/>
  <c r="Z7" i="2"/>
  <c r="Y28" i="2"/>
  <c r="Y70" i="2"/>
  <c r="Y127" i="2"/>
  <c r="Z36" i="2"/>
  <c r="Y88" i="2"/>
  <c r="Z81" i="2"/>
  <c r="Z15" i="2"/>
  <c r="Z97" i="2"/>
  <c r="Z10" i="2"/>
  <c r="Z39" i="2"/>
  <c r="Z46" i="2"/>
  <c r="Z129" i="2"/>
  <c r="Z60" i="2"/>
  <c r="W11" i="2"/>
  <c r="W45" i="2"/>
  <c r="F28" i="3"/>
  <c r="V25" i="2"/>
  <c r="V86" i="2"/>
  <c r="F20" i="3"/>
  <c r="Y113" i="2"/>
  <c r="Y126" i="2"/>
  <c r="Y20" i="2"/>
  <c r="V121" i="2"/>
  <c r="Y124" i="2"/>
  <c r="Y108" i="2"/>
  <c r="Y86" i="2"/>
  <c r="Y7" i="2"/>
  <c r="Y109" i="2"/>
  <c r="Y79" i="2"/>
  <c r="Y132" i="2"/>
  <c r="Z12" i="2"/>
  <c r="Z79" i="2"/>
  <c r="Z73" i="2"/>
  <c r="Y32" i="2"/>
  <c r="Y78" i="2"/>
  <c r="Y11" i="2"/>
  <c r="Y19" i="2"/>
  <c r="Y129" i="2"/>
  <c r="Y69" i="2"/>
  <c r="Z52" i="2"/>
  <c r="Z26" i="2"/>
  <c r="Z66" i="2"/>
  <c r="Z130" i="2"/>
  <c r="Z61" i="2"/>
  <c r="W98" i="2"/>
  <c r="W33" i="2"/>
  <c r="W10" i="2"/>
  <c r="W101" i="2"/>
  <c r="AB63" i="2"/>
  <c r="AB40" i="2"/>
  <c r="W79" i="2"/>
  <c r="Y33" i="2"/>
  <c r="Y83" i="2"/>
  <c r="W100" i="2"/>
  <c r="Y90" i="2"/>
  <c r="Y121" i="2"/>
  <c r="Y6" i="2"/>
  <c r="Y97" i="2"/>
  <c r="Y92" i="2"/>
  <c r="Y119" i="2"/>
  <c r="Z109" i="2"/>
  <c r="Y34" i="2"/>
  <c r="Z132" i="2"/>
  <c r="Y62" i="2"/>
  <c r="Z72" i="2"/>
  <c r="Z120" i="2"/>
  <c r="Y58" i="2"/>
  <c r="Z47" i="2"/>
  <c r="Y123" i="2"/>
  <c r="Y95" i="2"/>
  <c r="Y38" i="2"/>
  <c r="Y110" i="2"/>
  <c r="Z106" i="2"/>
  <c r="AB70" i="2"/>
  <c r="AB39" i="2"/>
  <c r="V88" i="2"/>
  <c r="AB32" i="2"/>
  <c r="W25" i="2"/>
  <c r="V13" i="2"/>
  <c r="AB120" i="2"/>
  <c r="AB104" i="2"/>
  <c r="AB59" i="2"/>
  <c r="Y103" i="2"/>
  <c r="Y45" i="2"/>
  <c r="Y55" i="2"/>
  <c r="Y39" i="2"/>
  <c r="Z88" i="2"/>
  <c r="AB8" i="2"/>
  <c r="Y98" i="2"/>
  <c r="Y48" i="2"/>
  <c r="Y122" i="2"/>
  <c r="Z48" i="2"/>
  <c r="Y112" i="2"/>
  <c r="Z19" i="2"/>
  <c r="Y102" i="2"/>
  <c r="Y100" i="2"/>
  <c r="Z82" i="2"/>
  <c r="Y75" i="2"/>
  <c r="Z101" i="2"/>
  <c r="Z51" i="2"/>
  <c r="Z23" i="2"/>
  <c r="Y115" i="2"/>
  <c r="Y26" i="2"/>
  <c r="Z76" i="2"/>
  <c r="Y66" i="2"/>
  <c r="Y128" i="2"/>
  <c r="Y60" i="2"/>
  <c r="V10" i="2"/>
  <c r="W105" i="2"/>
  <c r="V44" i="2"/>
  <c r="AB53" i="2"/>
  <c r="AB17" i="2"/>
  <c r="Z77" i="2"/>
  <c r="L10" i="4"/>
  <c r="AB86" i="2"/>
  <c r="AB34" i="2"/>
  <c r="V98" i="2"/>
  <c r="X98" i="2" s="1"/>
  <c r="W69" i="2"/>
  <c r="V107" i="2"/>
  <c r="W75" i="2"/>
  <c r="W129" i="2"/>
  <c r="V130" i="2"/>
  <c r="F23" i="3"/>
  <c r="W91" i="2"/>
  <c r="AB24" i="2"/>
  <c r="AB29" i="2"/>
  <c r="W28" i="2"/>
  <c r="AB123" i="2"/>
  <c r="AB98" i="2"/>
  <c r="V47" i="2"/>
  <c r="F18" i="3"/>
  <c r="V7" i="2"/>
  <c r="W36" i="2"/>
  <c r="Z14" i="2"/>
  <c r="AB111" i="2"/>
  <c r="W87" i="2"/>
  <c r="W130" i="2"/>
  <c r="W90" i="2"/>
  <c r="Z49" i="2"/>
  <c r="V102" i="2"/>
  <c r="Z69" i="2"/>
  <c r="Z9" i="2"/>
  <c r="Z31" i="2"/>
  <c r="AB71" i="2"/>
  <c r="Z104" i="2"/>
  <c r="AB125" i="2"/>
  <c r="W73" i="2"/>
  <c r="Z35" i="2"/>
  <c r="Z128" i="2"/>
  <c r="W104" i="2"/>
  <c r="Z108" i="2"/>
  <c r="F13" i="3"/>
  <c r="AB100" i="2"/>
  <c r="W29" i="2"/>
  <c r="AB81" i="2"/>
  <c r="W15" i="2"/>
  <c r="W71" i="2"/>
  <c r="V128" i="2"/>
  <c r="F24" i="3"/>
  <c r="W92" i="2"/>
  <c r="AB60" i="2"/>
  <c r="AB48" i="2"/>
  <c r="V33" i="2"/>
  <c r="V38" i="2"/>
  <c r="AB45" i="2"/>
  <c r="W44" i="2"/>
  <c r="V119" i="2"/>
  <c r="F21" i="3"/>
  <c r="V132" i="2"/>
  <c r="Z117" i="2"/>
  <c r="AB19" i="2"/>
  <c r="V114" i="2"/>
  <c r="Z18" i="2"/>
  <c r="V62" i="2"/>
  <c r="Z32" i="2"/>
  <c r="AB74" i="2"/>
  <c r="W12" i="2"/>
  <c r="Z43" i="2"/>
  <c r="Z121" i="2"/>
  <c r="Z63" i="2"/>
  <c r="Z41" i="2"/>
  <c r="Y63" i="2"/>
  <c r="Z21" i="2"/>
  <c r="Y89" i="2"/>
  <c r="Y84" i="2"/>
  <c r="Y74" i="2"/>
  <c r="Y68" i="2"/>
  <c r="Y101" i="2"/>
  <c r="Z34" i="2"/>
  <c r="Y15" i="2"/>
  <c r="AB35" i="2"/>
  <c r="V112" i="2"/>
  <c r="Z124" i="2"/>
  <c r="V61" i="2"/>
  <c r="AB14" i="2"/>
  <c r="AB43" i="2"/>
  <c r="AB76" i="2"/>
  <c r="Z6" i="2"/>
  <c r="Z84" i="2"/>
  <c r="AB130" i="2"/>
  <c r="V37" i="2"/>
  <c r="AB116" i="2"/>
  <c r="W35" i="2"/>
  <c r="V28" i="2"/>
  <c r="V58" i="2"/>
  <c r="AB36" i="2"/>
  <c r="Z112" i="2"/>
  <c r="Z89" i="2"/>
  <c r="Z44" i="2"/>
  <c r="Z102" i="2"/>
  <c r="Y52" i="2"/>
  <c r="Y29" i="2"/>
  <c r="Y105" i="2"/>
  <c r="Z83" i="2"/>
  <c r="Y50" i="2"/>
  <c r="Y56" i="2"/>
  <c r="Z71" i="2"/>
  <c r="Z62" i="2"/>
  <c r="Y80" i="2"/>
  <c r="Z78" i="2"/>
  <c r="Y5" i="2"/>
  <c r="Y21" i="2"/>
  <c r="Z100" i="2"/>
  <c r="Y120" i="2"/>
  <c r="Y67" i="2"/>
  <c r="Y23" i="2"/>
  <c r="Y10" i="2"/>
  <c r="Z54" i="2"/>
  <c r="Y31" i="2"/>
  <c r="Y77" i="2"/>
  <c r="Z98" i="2"/>
  <c r="Y107" i="2"/>
  <c r="Y54" i="2"/>
  <c r="Y133" i="2"/>
  <c r="Y82" i="2"/>
  <c r="Y64" i="2"/>
  <c r="Y51" i="2"/>
  <c r="Y81" i="2"/>
  <c r="Y131" i="2"/>
  <c r="Y106" i="2"/>
  <c r="Z127" i="2"/>
  <c r="Y85" i="2"/>
  <c r="Z17" i="2"/>
  <c r="Y41" i="2"/>
  <c r="Y46" i="2"/>
  <c r="Z95" i="2"/>
  <c r="Y114" i="2"/>
  <c r="Y61" i="2"/>
  <c r="V133" i="2"/>
  <c r="AB128" i="2"/>
  <c r="W62" i="2"/>
  <c r="V20" i="2"/>
  <c r="V39" i="2"/>
  <c r="AB44" i="2"/>
  <c r="Y104" i="2"/>
  <c r="Z70" i="2"/>
  <c r="AB103" i="2"/>
  <c r="Y99" i="2"/>
  <c r="Z20" i="2"/>
  <c r="Y117" i="2"/>
  <c r="Y37" i="2"/>
  <c r="Z113" i="2"/>
  <c r="Y9" i="2"/>
  <c r="Z107" i="2"/>
  <c r="Z13" i="2"/>
  <c r="Z92" i="2"/>
  <c r="Z28" i="2"/>
  <c r="Y59" i="2"/>
  <c r="Y76" i="2"/>
  <c r="Z67" i="2"/>
  <c r="Z115" i="2"/>
  <c r="Z87" i="2"/>
  <c r="Z58" i="2"/>
  <c r="Z86" i="2"/>
  <c r="AB129" i="2"/>
  <c r="F2" i="3"/>
  <c r="W39" i="2"/>
  <c r="W81" i="2"/>
  <c r="V100" i="2"/>
  <c r="W124" i="2"/>
  <c r="Z119" i="2"/>
  <c r="Z91" i="2"/>
  <c r="Z133" i="2"/>
  <c r="V89" i="2"/>
  <c r="Z94" i="2"/>
  <c r="V92" i="2"/>
  <c r="W128" i="2"/>
  <c r="AB108" i="2"/>
  <c r="V91" i="2"/>
  <c r="AB73" i="2"/>
  <c r="Z103" i="2"/>
  <c r="W70" i="2"/>
  <c r="W115" i="2"/>
  <c r="V21" i="2"/>
  <c r="F8" i="3"/>
  <c r="V97" i="2"/>
  <c r="AB90" i="2"/>
  <c r="AB15" i="2"/>
  <c r="V12" i="2"/>
  <c r="W59" i="2"/>
  <c r="AB23" i="2"/>
  <c r="AB4" i="2"/>
  <c r="W58" i="2"/>
  <c r="F30" i="3"/>
  <c r="V43" i="2"/>
  <c r="W113" i="2"/>
  <c r="W50" i="2"/>
  <c r="V87" i="2"/>
  <c r="W32" i="2"/>
  <c r="AB99" i="2"/>
  <c r="V126" i="2"/>
  <c r="AB96" i="2"/>
  <c r="AB26" i="2"/>
  <c r="V123" i="2"/>
  <c r="W116" i="2"/>
  <c r="AB134" i="2"/>
  <c r="V32" i="2"/>
  <c r="W125" i="2"/>
  <c r="F3" i="3"/>
  <c r="AB112" i="2"/>
  <c r="V116" i="2"/>
  <c r="W5" i="2"/>
  <c r="AB6" i="2"/>
  <c r="AB16" i="2"/>
  <c r="W51" i="2"/>
  <c r="W34" i="2"/>
  <c r="W86" i="2"/>
  <c r="AB105" i="2"/>
  <c r="W82" i="2"/>
  <c r="V51" i="2"/>
  <c r="F29" i="3"/>
  <c r="V122" i="2"/>
  <c r="W114" i="2"/>
  <c r="Z38" i="2"/>
  <c r="W119" i="2"/>
  <c r="AB91" i="2"/>
  <c r="F9" i="3"/>
  <c r="Z16" i="2"/>
  <c r="W43" i="2"/>
  <c r="W72" i="2"/>
  <c r="V55" i="2"/>
  <c r="W121" i="2"/>
  <c r="V56" i="2"/>
  <c r="AB13" i="2"/>
  <c r="AB20" i="2"/>
  <c r="V115" i="2"/>
  <c r="W37" i="2"/>
  <c r="AB69" i="2"/>
  <c r="AB93" i="2"/>
  <c r="W117" i="2"/>
  <c r="F7" i="3"/>
  <c r="V73" i="2"/>
  <c r="W68" i="2"/>
  <c r="W78" i="2"/>
  <c r="W94" i="2"/>
  <c r="W52" i="2"/>
  <c r="AB131" i="2"/>
  <c r="V90" i="2"/>
  <c r="AB79" i="2"/>
  <c r="V71" i="2"/>
  <c r="V15" i="2"/>
  <c r="W127" i="2"/>
  <c r="V94" i="2"/>
  <c r="V52" i="2"/>
  <c r="W76" i="2"/>
  <c r="AB89" i="2"/>
  <c r="AB102" i="2"/>
  <c r="V127" i="2"/>
  <c r="W84" i="2"/>
  <c r="AB97" i="2"/>
  <c r="AB88" i="2"/>
  <c r="W22" i="2"/>
  <c r="W96" i="2"/>
  <c r="W26" i="2"/>
  <c r="AB33" i="2"/>
  <c r="Z134" i="2"/>
  <c r="V22" i="2"/>
  <c r="F14" i="3"/>
  <c r="V80" i="2"/>
  <c r="W54" i="2"/>
  <c r="AB28" i="2"/>
  <c r="W46" i="2"/>
  <c r="W21" i="2"/>
  <c r="AB58" i="2"/>
  <c r="F27" i="3"/>
  <c r="V117" i="2"/>
  <c r="W74" i="2"/>
  <c r="AB107" i="2"/>
  <c r="Y18" i="2"/>
  <c r="Y17" i="2"/>
  <c r="V124" i="2"/>
  <c r="AB113" i="2"/>
  <c r="AB50" i="2"/>
  <c r="V72" i="2"/>
  <c r="AB94" i="2"/>
  <c r="AB52" i="2"/>
  <c r="V57" i="2"/>
  <c r="F32" i="3"/>
  <c r="V35" i="2"/>
  <c r="V111" i="2"/>
  <c r="W118" i="2"/>
  <c r="AB5" i="2"/>
  <c r="W48" i="2"/>
  <c r="W60" i="2"/>
  <c r="AB51" i="2"/>
  <c r="F17" i="3"/>
  <c r="AB77" i="2"/>
  <c r="V129" i="2"/>
  <c r="V75" i="2"/>
  <c r="W14" i="2"/>
  <c r="V48" i="2"/>
  <c r="V60" i="2"/>
  <c r="AB95" i="2"/>
  <c r="AB61" i="2"/>
  <c r="AB133" i="2"/>
  <c r="V14" i="2"/>
  <c r="Y27" i="2"/>
  <c r="AB56" i="2"/>
  <c r="V125" i="2"/>
  <c r="Z110" i="2"/>
  <c r="W63" i="2"/>
  <c r="AB65" i="2"/>
  <c r="V103" i="2"/>
  <c r="AB57" i="2"/>
  <c r="W110" i="2"/>
  <c r="V96" i="2"/>
  <c r="V26" i="2"/>
  <c r="W112" i="2"/>
  <c r="AB37" i="2"/>
  <c r="W47" i="2"/>
  <c r="W55" i="2"/>
  <c r="AB62" i="2"/>
  <c r="F12" i="3"/>
  <c r="AB127" i="2"/>
  <c r="Z59" i="2"/>
  <c r="Z45" i="2"/>
  <c r="Z125" i="2"/>
  <c r="AB83" i="2"/>
  <c r="AB11" i="2"/>
  <c r="V54" i="2"/>
  <c r="Y71" i="2"/>
  <c r="Z90" i="2"/>
  <c r="W38" i="2"/>
  <c r="Z131" i="2"/>
  <c r="W107" i="2"/>
  <c r="Z33" i="2"/>
  <c r="V134" i="2"/>
  <c r="AB126" i="2"/>
  <c r="AB87" i="2"/>
  <c r="V16" i="2"/>
  <c r="AB68" i="2"/>
  <c r="AB78" i="2"/>
  <c r="V105" i="2"/>
  <c r="AB101" i="2"/>
  <c r="AB25" i="2"/>
  <c r="W18" i="2"/>
  <c r="F26" i="3"/>
  <c r="V74" i="2"/>
  <c r="V36" i="2"/>
  <c r="W123" i="2"/>
  <c r="AB84" i="2"/>
  <c r="W106" i="2"/>
  <c r="W9" i="2"/>
  <c r="AB22" i="2"/>
  <c r="F15" i="3"/>
  <c r="AB85" i="2"/>
  <c r="V113" i="2"/>
  <c r="V50" i="2"/>
  <c r="W19" i="2"/>
  <c r="V106" i="2"/>
  <c r="V9" i="2"/>
  <c r="AB49" i="2"/>
  <c r="AB64" i="2"/>
  <c r="AB109" i="2"/>
  <c r="V19" i="2"/>
  <c r="AB119" i="2"/>
  <c r="AB42" i="2"/>
  <c r="V76" i="2"/>
  <c r="F22" i="3"/>
  <c r="W77" i="2"/>
  <c r="AB12" i="2"/>
  <c r="V5" i="2"/>
  <c r="AB18" i="2"/>
  <c r="W40" i="2"/>
  <c r="V79" i="2"/>
  <c r="W89" i="2"/>
  <c r="W102" i="2"/>
  <c r="AB10" i="2"/>
  <c r="W6" i="2"/>
  <c r="W16" i="2"/>
  <c r="V110" i="2"/>
  <c r="AB67" i="2"/>
  <c r="AB122" i="2"/>
  <c r="V68" i="2"/>
  <c r="V78" i="2"/>
  <c r="W108" i="2"/>
  <c r="V29" i="2"/>
  <c r="V24" i="2"/>
  <c r="F31" i="3"/>
  <c r="AB114" i="2"/>
  <c r="AB38" i="2"/>
  <c r="V108" i="2"/>
  <c r="AB46" i="2"/>
  <c r="AB21" i="2"/>
  <c r="W99" i="2"/>
  <c r="F10" i="3"/>
  <c r="W85" i="2"/>
  <c r="AB115" i="2"/>
  <c r="V84" i="2"/>
  <c r="V99" i="2"/>
  <c r="W95" i="2"/>
  <c r="V63" i="2"/>
  <c r="W120" i="2"/>
  <c r="V27" i="2"/>
  <c r="W97" i="2"/>
  <c r="W88" i="2"/>
  <c r="V40" i="2"/>
  <c r="L6" i="4"/>
  <c r="V120" i="2"/>
  <c r="V18" i="2"/>
  <c r="X18" i="2" s="1"/>
  <c r="W126" i="2"/>
  <c r="V17" i="2"/>
  <c r="Z116" i="2"/>
  <c r="V66" i="2"/>
  <c r="Z50" i="2"/>
  <c r="V6" i="2"/>
  <c r="F25" i="3"/>
  <c r="V46" i="2"/>
  <c r="W57" i="2"/>
  <c r="AB118" i="2"/>
  <c r="V104" i="2"/>
  <c r="W17" i="2"/>
  <c r="AB106" i="2"/>
  <c r="AB9" i="2"/>
  <c r="W41" i="2"/>
  <c r="F6" i="3"/>
  <c r="V11" i="2"/>
  <c r="W13" i="2"/>
  <c r="W20" i="2"/>
  <c r="AB27" i="2"/>
  <c r="W23" i="2"/>
  <c r="AB110" i="2"/>
  <c r="AB80" i="2"/>
  <c r="V45" i="2"/>
  <c r="W8" i="2"/>
  <c r="W83" i="2"/>
  <c r="V23" i="2"/>
  <c r="F16" i="3"/>
  <c r="AB54" i="2"/>
  <c r="V8" i="2"/>
  <c r="V83" i="2"/>
  <c r="AB132" i="2"/>
  <c r="AB124" i="2"/>
  <c r="W131" i="2"/>
  <c r="F11" i="3"/>
  <c r="W122" i="2"/>
  <c r="AB121" i="2"/>
  <c r="V81" i="2"/>
  <c r="X81" i="2" s="1"/>
  <c r="V131" i="2"/>
  <c r="W49" i="2"/>
  <c r="V77" i="2"/>
  <c r="W61" i="2"/>
  <c r="W133" i="2"/>
  <c r="V82" i="2"/>
  <c r="W7" i="2"/>
  <c r="AB92" i="2"/>
  <c r="V95" i="2"/>
  <c r="X95" i="2" s="1"/>
  <c r="V64" i="2"/>
  <c r="W67" i="2"/>
  <c r="AB82" i="2"/>
  <c r="V69" i="2"/>
  <c r="W93" i="2"/>
  <c r="X93" i="2" s="1"/>
  <c r="F5" i="3"/>
  <c r="AB66" i="2"/>
  <c r="V67" i="2"/>
  <c r="W103" i="2"/>
  <c r="AB47" i="2"/>
  <c r="AB55" i="2"/>
  <c r="W31" i="2"/>
  <c r="F4" i="3"/>
  <c r="W80" i="2"/>
  <c r="AB72" i="2"/>
  <c r="W27" i="2"/>
  <c r="V31" i="2"/>
  <c r="F19" i="3"/>
  <c r="V85" i="2"/>
  <c r="W64" i="2"/>
  <c r="W109" i="2"/>
  <c r="W134" i="2"/>
  <c r="W56" i="2"/>
  <c r="AB41" i="2"/>
  <c r="V49" i="2"/>
  <c r="Z74" i="2"/>
  <c r="V41" i="2"/>
  <c r="G16" i="3"/>
  <c r="G32" i="3"/>
  <c r="G31" i="3"/>
  <c r="G2" i="3"/>
  <c r="G12" i="3"/>
  <c r="G4" i="3"/>
  <c r="G7" i="3"/>
  <c r="G20" i="3"/>
  <c r="G11" i="3"/>
  <c r="G30" i="3"/>
  <c r="G27" i="3"/>
  <c r="G10" i="3"/>
  <c r="G13" i="3"/>
  <c r="G23" i="3"/>
  <c r="G8" i="3"/>
  <c r="G9" i="3"/>
  <c r="G22" i="3"/>
  <c r="G15" i="3"/>
  <c r="G6" i="3"/>
  <c r="G18" i="3"/>
  <c r="G14" i="3"/>
  <c r="G3" i="3"/>
  <c r="G17" i="3"/>
  <c r="G24" i="3"/>
  <c r="G25" i="3"/>
  <c r="G29" i="3"/>
  <c r="G5" i="3"/>
  <c r="G28" i="3"/>
  <c r="G26" i="3"/>
  <c r="G21" i="3"/>
  <c r="G19" i="3"/>
  <c r="Z30" i="2"/>
  <c r="AB30" i="2"/>
  <c r="W30" i="2"/>
  <c r="V30" i="2"/>
  <c r="Y30" i="2"/>
  <c r="N111" i="2"/>
  <c r="N40" i="2"/>
  <c r="N42" i="2"/>
  <c r="N134" i="2"/>
  <c r="N24" i="2"/>
  <c r="N53" i="2"/>
  <c r="N93" i="2"/>
  <c r="AU88" i="2" l="1"/>
  <c r="AU57" i="2"/>
  <c r="AU77" i="2"/>
  <c r="AU115" i="2"/>
  <c r="AU130" i="2"/>
  <c r="AU120" i="2"/>
  <c r="AU63" i="2"/>
  <c r="AU116" i="2"/>
  <c r="AU124" i="2"/>
  <c r="AU38" i="2"/>
  <c r="AU72" i="2"/>
  <c r="AU37" i="2"/>
  <c r="AU70" i="2"/>
  <c r="AU118" i="2"/>
  <c r="AU133" i="2"/>
  <c r="AU127" i="2"/>
  <c r="AU55" i="2"/>
  <c r="AU99" i="2"/>
  <c r="AU62" i="2"/>
  <c r="AU44" i="2"/>
  <c r="AU58" i="2"/>
  <c r="AU52" i="2"/>
  <c r="AU95" i="2"/>
  <c r="AU17" i="2"/>
  <c r="AU87" i="2"/>
  <c r="AU48" i="2"/>
  <c r="AU80" i="2"/>
  <c r="AU129" i="2"/>
  <c r="AU66" i="2"/>
  <c r="AU50" i="2"/>
  <c r="AU84" i="2"/>
  <c r="AU131" i="2"/>
  <c r="AU110" i="2"/>
  <c r="AU79" i="2"/>
  <c r="AU9" i="2"/>
  <c r="AU119" i="2"/>
  <c r="AU111" i="2"/>
  <c r="AU61" i="2"/>
  <c r="AU123" i="2"/>
  <c r="AU109" i="2"/>
  <c r="AU46" i="2"/>
  <c r="AU56" i="2"/>
  <c r="AU98" i="2"/>
  <c r="AU121" i="2"/>
  <c r="AU16" i="2"/>
  <c r="AU65" i="2"/>
  <c r="AU107" i="2"/>
  <c r="AU36" i="2"/>
  <c r="AU113" i="2"/>
  <c r="AU112" i="2"/>
  <c r="AU78" i="2"/>
  <c r="AU91" i="2"/>
  <c r="AU40" i="2"/>
  <c r="AU101" i="2"/>
  <c r="AU81" i="2"/>
  <c r="AU29" i="2"/>
  <c r="AU68" i="2"/>
  <c r="AU102" i="2"/>
  <c r="AU51" i="2"/>
  <c r="AU126" i="2"/>
  <c r="AU76" i="2"/>
  <c r="AU132" i="2"/>
  <c r="AU43" i="2"/>
  <c r="AU71" i="2"/>
  <c r="AU114" i="2"/>
  <c r="AU47" i="2"/>
  <c r="AU21" i="2"/>
  <c r="AU11" i="2"/>
  <c r="AU105" i="2"/>
  <c r="AU10" i="2"/>
  <c r="AU94" i="2"/>
  <c r="AU73" i="2"/>
  <c r="AU89" i="2"/>
  <c r="AU45" i="2"/>
  <c r="AU53" i="2"/>
  <c r="AU67" i="2"/>
  <c r="AU49" i="2"/>
  <c r="AU104" i="2"/>
  <c r="AU106" i="2"/>
  <c r="AU83" i="2"/>
  <c r="AU82" i="2"/>
  <c r="AU69" i="2"/>
  <c r="AU122" i="2"/>
  <c r="AU54" i="2"/>
  <c r="AU75" i="2"/>
  <c r="AU103" i="2"/>
  <c r="AU134" i="2"/>
  <c r="AU100" i="2"/>
  <c r="X5" i="2"/>
  <c r="X52" i="2"/>
  <c r="N22" i="2"/>
  <c r="AH104" i="2"/>
  <c r="AI104" i="2"/>
  <c r="AH101" i="2"/>
  <c r="AI101" i="2"/>
  <c r="AH8" i="2"/>
  <c r="AI8" i="2"/>
  <c r="AH119" i="2"/>
  <c r="AI119" i="2"/>
  <c r="AH107" i="2"/>
  <c r="AI107" i="2"/>
  <c r="AH44" i="2"/>
  <c r="AI44" i="2"/>
  <c r="AH122" i="2"/>
  <c r="AI122" i="2"/>
  <c r="AH89" i="2"/>
  <c r="AI89" i="2"/>
  <c r="AH114" i="2"/>
  <c r="AI114" i="2"/>
  <c r="AH102" i="2"/>
  <c r="AI102" i="2"/>
  <c r="AH14" i="2"/>
  <c r="AI14" i="2"/>
  <c r="AH97" i="2"/>
  <c r="AI97" i="2"/>
  <c r="AH62" i="2"/>
  <c r="AI62" i="2"/>
  <c r="AH63" i="2"/>
  <c r="AI63" i="2"/>
  <c r="AH105" i="2"/>
  <c r="AI105" i="2"/>
  <c r="AH32" i="2"/>
  <c r="AI32" i="2"/>
  <c r="AH19" i="2"/>
  <c r="AI19" i="2"/>
  <c r="AH7" i="2"/>
  <c r="AI7" i="2"/>
  <c r="AH115" i="2"/>
  <c r="AI115" i="2"/>
  <c r="AH29" i="2"/>
  <c r="AI29" i="2"/>
  <c r="AH57" i="2"/>
  <c r="AI57" i="2"/>
  <c r="AH70" i="2"/>
  <c r="AI70" i="2"/>
  <c r="AH13" i="2"/>
  <c r="AI13" i="2"/>
  <c r="AH45" i="2"/>
  <c r="AI45" i="2"/>
  <c r="AH20" i="2"/>
  <c r="AI20" i="2"/>
  <c r="AH84" i="2"/>
  <c r="AI84" i="2"/>
  <c r="AH55" i="2"/>
  <c r="AI55" i="2"/>
  <c r="AH31" i="2"/>
  <c r="AI31" i="2"/>
  <c r="AH110" i="2"/>
  <c r="AI110" i="2"/>
  <c r="AH11" i="2"/>
  <c r="AI11" i="2"/>
  <c r="AH10" i="2"/>
  <c r="AI10" i="2"/>
  <c r="AH81" i="2"/>
  <c r="AI81" i="2"/>
  <c r="AH28" i="2"/>
  <c r="AI28" i="2"/>
  <c r="AH60" i="2"/>
  <c r="AI60" i="2"/>
  <c r="AH80" i="2"/>
  <c r="AI80" i="2"/>
  <c r="AH54" i="2"/>
  <c r="AI54" i="2"/>
  <c r="AH67" i="2"/>
  <c r="AI67" i="2"/>
  <c r="AH91" i="2"/>
  <c r="AI91" i="2"/>
  <c r="AH79" i="2"/>
  <c r="AI79" i="2"/>
  <c r="AH106" i="2"/>
  <c r="AI106" i="2"/>
  <c r="AH116" i="2"/>
  <c r="AI116" i="2"/>
  <c r="AH132" i="2"/>
  <c r="AI132" i="2"/>
  <c r="AH38" i="2"/>
  <c r="AI38" i="2"/>
  <c r="AH94" i="2"/>
  <c r="AI94" i="2"/>
  <c r="AH111" i="2"/>
  <c r="AI111" i="2"/>
  <c r="AH129" i="2"/>
  <c r="AI129" i="2"/>
  <c r="AH118" i="2"/>
  <c r="AI118" i="2"/>
  <c r="AH75" i="2"/>
  <c r="AI75" i="2"/>
  <c r="AH56" i="2"/>
  <c r="AI56" i="2"/>
  <c r="AH51" i="2"/>
  <c r="AI51" i="2"/>
  <c r="AH40" i="2"/>
  <c r="AI40" i="2"/>
  <c r="AH4" i="2"/>
  <c r="AI4" i="2"/>
  <c r="AH16" i="2"/>
  <c r="AI16" i="2"/>
  <c r="AH120" i="2"/>
  <c r="AI120" i="2"/>
  <c r="AH53" i="2"/>
  <c r="AI53" i="2"/>
  <c r="AH46" i="2"/>
  <c r="AI46" i="2"/>
  <c r="AH98" i="2"/>
  <c r="AI98" i="2"/>
  <c r="AH17" i="2"/>
  <c r="AI17" i="2"/>
  <c r="AH25" i="2"/>
  <c r="AI25" i="2"/>
  <c r="AH93" i="2"/>
  <c r="AI93" i="2"/>
  <c r="AH83" i="2"/>
  <c r="AI83" i="2"/>
  <c r="AH42" i="2"/>
  <c r="AI42" i="2"/>
  <c r="AH72" i="2"/>
  <c r="AI72" i="2"/>
  <c r="AH69" i="2"/>
  <c r="AI69" i="2"/>
  <c r="AH61" i="2"/>
  <c r="AI61" i="2"/>
  <c r="AH66" i="2"/>
  <c r="AI66" i="2"/>
  <c r="AH133" i="2"/>
  <c r="AI133" i="2"/>
  <c r="AH27" i="2"/>
  <c r="AI27" i="2"/>
  <c r="AH58" i="2"/>
  <c r="AI58" i="2"/>
  <c r="AH126" i="2"/>
  <c r="AI126" i="2"/>
  <c r="AH87" i="2"/>
  <c r="AI87" i="2"/>
  <c r="AH125" i="2"/>
  <c r="AI125" i="2"/>
  <c r="AH82" i="2"/>
  <c r="AI82" i="2"/>
  <c r="AH37" i="2"/>
  <c r="AI37" i="2"/>
  <c r="AH24" i="2"/>
  <c r="AI24" i="2"/>
  <c r="AH43" i="2"/>
  <c r="AI43" i="2"/>
  <c r="AH36" i="2"/>
  <c r="AI36" i="2"/>
  <c r="AH113" i="2"/>
  <c r="AI113" i="2"/>
  <c r="AH123" i="2"/>
  <c r="AI123" i="2"/>
  <c r="AH50" i="2"/>
  <c r="AI50" i="2"/>
  <c r="AH127" i="2"/>
  <c r="AI127" i="2"/>
  <c r="AH47" i="2"/>
  <c r="AI47" i="2"/>
  <c r="AH99" i="2"/>
  <c r="AI99" i="2"/>
  <c r="AH22" i="2"/>
  <c r="AI22" i="2"/>
  <c r="AH95" i="2"/>
  <c r="AI95" i="2"/>
  <c r="AH77" i="2"/>
  <c r="AI77" i="2"/>
  <c r="AH121" i="2"/>
  <c r="AI121" i="2"/>
  <c r="AH23" i="2"/>
  <c r="AI23" i="2"/>
  <c r="AH76" i="2"/>
  <c r="AI76" i="2"/>
  <c r="AH65" i="2"/>
  <c r="AI65" i="2"/>
  <c r="AH48" i="2"/>
  <c r="AI48" i="2"/>
  <c r="AH26" i="2"/>
  <c r="AI26" i="2"/>
  <c r="AH112" i="2"/>
  <c r="AI112" i="2"/>
  <c r="AH109" i="2"/>
  <c r="AI109" i="2"/>
  <c r="AH103" i="2"/>
  <c r="AI103" i="2"/>
  <c r="AH21" i="2"/>
  <c r="AI21" i="2"/>
  <c r="AH130" i="2"/>
  <c r="AI130" i="2"/>
  <c r="AH59" i="2"/>
  <c r="AI59" i="2"/>
  <c r="AH9" i="2"/>
  <c r="AI9" i="2"/>
  <c r="AH124" i="2"/>
  <c r="AI124" i="2"/>
  <c r="AH33" i="2"/>
  <c r="AI33" i="2"/>
  <c r="AH52" i="2"/>
  <c r="AI52" i="2"/>
  <c r="AH88" i="2"/>
  <c r="AI88" i="2"/>
  <c r="AH73" i="2"/>
  <c r="AI73" i="2"/>
  <c r="AH71" i="2"/>
  <c r="AI71" i="2"/>
  <c r="AH68" i="2"/>
  <c r="AI68" i="2"/>
  <c r="AH78" i="2"/>
  <c r="AI78" i="2"/>
  <c r="AH134" i="2"/>
  <c r="AI134" i="2"/>
  <c r="AH131" i="2"/>
  <c r="AI131" i="2"/>
  <c r="AH100" i="2"/>
  <c r="AI100" i="2"/>
  <c r="AH49" i="2"/>
  <c r="AI49" i="2"/>
  <c r="AH30" i="2"/>
  <c r="N118" i="2"/>
  <c r="AI30" i="2"/>
  <c r="X94" i="2"/>
  <c r="X32" i="2"/>
  <c r="X105" i="2"/>
  <c r="N115" i="2"/>
  <c r="N129" i="2"/>
  <c r="N21" i="2"/>
  <c r="X49" i="2"/>
  <c r="X111" i="2"/>
  <c r="X106" i="2"/>
  <c r="N114" i="2"/>
  <c r="X48" i="2"/>
  <c r="N123" i="2"/>
  <c r="N109" i="2"/>
  <c r="N124" i="2"/>
  <c r="N98" i="2"/>
  <c r="N104" i="2"/>
  <c r="N20" i="2"/>
  <c r="N32" i="2"/>
  <c r="N26" i="2"/>
  <c r="N96" i="2"/>
  <c r="X9" i="2"/>
  <c r="N133" i="2"/>
  <c r="N14" i="2"/>
  <c r="N99" i="2"/>
  <c r="N15" i="2"/>
  <c r="N6" i="2"/>
  <c r="N28" i="2"/>
  <c r="N119" i="2"/>
  <c r="X129" i="2"/>
  <c r="N49" i="2"/>
  <c r="N125" i="2"/>
  <c r="N34" i="2"/>
  <c r="N62" i="2"/>
  <c r="N54" i="2"/>
  <c r="N130" i="2"/>
  <c r="X12" i="2"/>
  <c r="N33" i="2"/>
  <c r="N9" i="2"/>
  <c r="N101" i="2"/>
  <c r="N122" i="2"/>
  <c r="N52" i="2"/>
  <c r="N113" i="2"/>
  <c r="N44" i="2"/>
  <c r="N108" i="2"/>
  <c r="N105" i="2"/>
  <c r="X68" i="2"/>
  <c r="N126" i="2"/>
  <c r="N110" i="2"/>
  <c r="X84" i="2"/>
  <c r="N131" i="2"/>
  <c r="N58" i="2"/>
  <c r="X82" i="2"/>
  <c r="X60" i="2"/>
  <c r="N121" i="2"/>
  <c r="N43" i="2"/>
  <c r="N120" i="2"/>
  <c r="N56" i="2"/>
  <c r="N36" i="2"/>
  <c r="N35" i="2"/>
  <c r="N97" i="2"/>
  <c r="X24" i="2"/>
  <c r="X73" i="2"/>
  <c r="X35" i="2"/>
  <c r="N60" i="2"/>
  <c r="N50" i="2"/>
  <c r="X79" i="2"/>
  <c r="X65" i="2"/>
  <c r="N19" i="2"/>
  <c r="N7" i="2"/>
  <c r="N57" i="2"/>
  <c r="N31" i="2"/>
  <c r="N59" i="2"/>
  <c r="N23" i="2"/>
  <c r="N128" i="2"/>
  <c r="N127" i="2"/>
  <c r="N106" i="2"/>
  <c r="X124" i="2"/>
  <c r="N107" i="2"/>
  <c r="X92" i="2"/>
  <c r="N25" i="2"/>
  <c r="N17" i="2"/>
  <c r="N38" i="2"/>
  <c r="N41" i="2"/>
  <c r="N37" i="2"/>
  <c r="N103" i="2"/>
  <c r="N27" i="2"/>
  <c r="N48" i="2"/>
  <c r="N51" i="2"/>
  <c r="X75" i="2"/>
  <c r="X67" i="2"/>
  <c r="X120" i="2"/>
  <c r="X134" i="2"/>
  <c r="X76" i="2"/>
  <c r="N100" i="2"/>
  <c r="N132" i="2"/>
  <c r="X23" i="2"/>
  <c r="X110" i="2"/>
  <c r="X19" i="2"/>
  <c r="X36" i="2"/>
  <c r="X17" i="2"/>
  <c r="X72" i="2"/>
  <c r="X118" i="2"/>
  <c r="X15" i="2"/>
  <c r="X91" i="2"/>
  <c r="X132" i="2"/>
  <c r="X63" i="2"/>
  <c r="X54" i="2"/>
  <c r="X71" i="2"/>
  <c r="X40" i="2"/>
  <c r="X66" i="2"/>
  <c r="X69" i="2"/>
  <c r="X104" i="2"/>
  <c r="X11" i="2"/>
  <c r="X22" i="2"/>
  <c r="X46" i="2"/>
  <c r="X100" i="2"/>
  <c r="X50" i="2"/>
  <c r="X125" i="2"/>
  <c r="X85" i="2"/>
  <c r="X74" i="2"/>
  <c r="X96" i="2"/>
  <c r="X87" i="2"/>
  <c r="X26" i="2"/>
  <c r="X33" i="2"/>
  <c r="X41" i="2"/>
  <c r="X27" i="2"/>
  <c r="X117" i="2"/>
  <c r="X115" i="2"/>
  <c r="X51" i="2"/>
  <c r="X123" i="2"/>
  <c r="X47" i="2"/>
  <c r="X130" i="2"/>
  <c r="L49" i="4"/>
  <c r="X86" i="2"/>
  <c r="X77" i="2"/>
  <c r="X45" i="2"/>
  <c r="X61" i="2"/>
  <c r="X122" i="2"/>
  <c r="X89" i="2"/>
  <c r="X20" i="2"/>
  <c r="X28" i="2"/>
  <c r="X114" i="2"/>
  <c r="X38" i="2"/>
  <c r="X102" i="2"/>
  <c r="X7" i="2"/>
  <c r="X10" i="2"/>
  <c r="X88" i="2"/>
  <c r="X113" i="2"/>
  <c r="X80" i="2"/>
  <c r="X101" i="2"/>
  <c r="X29" i="2"/>
  <c r="X116" i="2"/>
  <c r="X43" i="2"/>
  <c r="X133" i="2"/>
  <c r="X37" i="2"/>
  <c r="X25" i="2"/>
  <c r="X70" i="2"/>
  <c r="X31" i="2"/>
  <c r="X64" i="2"/>
  <c r="X14" i="2"/>
  <c r="X127" i="2"/>
  <c r="X97" i="2"/>
  <c r="X112" i="2"/>
  <c r="X131" i="2"/>
  <c r="X83" i="2"/>
  <c r="X78" i="2"/>
  <c r="X103" i="2"/>
  <c r="X56" i="2"/>
  <c r="X126" i="2"/>
  <c r="X119" i="2"/>
  <c r="X107" i="2"/>
  <c r="X13" i="2"/>
  <c r="X121" i="2"/>
  <c r="X59" i="2"/>
  <c r="X16" i="2"/>
  <c r="X8" i="2"/>
  <c r="X6" i="2"/>
  <c r="X99" i="2"/>
  <c r="X108" i="2"/>
  <c r="X90" i="2"/>
  <c r="X21" i="2"/>
  <c r="X62" i="2"/>
  <c r="X128" i="2"/>
  <c r="X44" i="2"/>
  <c r="X109" i="2"/>
  <c r="X57" i="2"/>
  <c r="X55" i="2"/>
  <c r="X39" i="2"/>
  <c r="X58" i="2"/>
  <c r="X34" i="2"/>
  <c r="X30" i="2"/>
  <c r="N30" i="2"/>
  <c r="Q74" i="2"/>
  <c r="L74" i="2"/>
  <c r="M74" i="2"/>
  <c r="Q83" i="2"/>
  <c r="L83" i="2"/>
  <c r="M83" i="2"/>
  <c r="Q78" i="2"/>
  <c r="L78" i="2"/>
  <c r="M78" i="2"/>
  <c r="Q61" i="2"/>
  <c r="L61" i="2"/>
  <c r="M61" i="2"/>
  <c r="Q10" i="2"/>
  <c r="L10" i="2"/>
  <c r="M10" i="2"/>
  <c r="Q82" i="2"/>
  <c r="L82" i="2"/>
  <c r="M82" i="2"/>
  <c r="Q80" i="2"/>
  <c r="L80" i="2"/>
  <c r="M80" i="2"/>
  <c r="Q4" i="2"/>
  <c r="L4" i="2"/>
  <c r="M4" i="2"/>
  <c r="Q81" i="2"/>
  <c r="L81" i="2"/>
  <c r="M81" i="2"/>
  <c r="Q29" i="2"/>
  <c r="L29" i="2"/>
  <c r="M29" i="2"/>
  <c r="Q84" i="2"/>
  <c r="L84" i="2"/>
  <c r="M84" i="2"/>
  <c r="Q65" i="2"/>
  <c r="L65" i="2"/>
  <c r="M65" i="2"/>
  <c r="Q75" i="2"/>
  <c r="L75" i="2"/>
  <c r="M75" i="2"/>
  <c r="Q73" i="2"/>
  <c r="L73" i="2"/>
  <c r="M73" i="2"/>
  <c r="Q69" i="2"/>
  <c r="L69" i="2"/>
  <c r="M69" i="2"/>
  <c r="Q66" i="2"/>
  <c r="L66" i="2"/>
  <c r="M66" i="2"/>
  <c r="Q63" i="2"/>
  <c r="L63" i="2"/>
  <c r="M63" i="2"/>
  <c r="Q68" i="2"/>
  <c r="L68" i="2"/>
  <c r="M68" i="2"/>
  <c r="Q67" i="2"/>
  <c r="L67" i="2"/>
  <c r="M67" i="2"/>
  <c r="Q77" i="2"/>
  <c r="L77" i="2"/>
  <c r="M77" i="2"/>
  <c r="Q79" i="2"/>
  <c r="L79" i="2"/>
  <c r="M79" i="2"/>
  <c r="Q71" i="2"/>
  <c r="L71" i="2"/>
  <c r="M71" i="2"/>
  <c r="Q76" i="2"/>
  <c r="Q72" i="2"/>
  <c r="L72" i="2"/>
  <c r="M72" i="2"/>
  <c r="Q70" i="2"/>
  <c r="L70" i="2"/>
  <c r="M70" i="2"/>
  <c r="Q5" i="2"/>
  <c r="L5" i="2"/>
  <c r="M5" i="2"/>
  <c r="M18" i="2"/>
  <c r="Q18" i="2"/>
  <c r="L18" i="2"/>
  <c r="M11" i="2"/>
  <c r="Q11" i="2"/>
  <c r="L11" i="2"/>
  <c r="M46" i="2"/>
  <c r="Q46" i="2"/>
  <c r="L46" i="2"/>
  <c r="M87" i="2"/>
  <c r="Q87" i="2"/>
  <c r="L87" i="2"/>
  <c r="M91" i="2"/>
  <c r="Q91" i="2"/>
  <c r="L91" i="2"/>
  <c r="M90" i="2"/>
  <c r="Q90" i="2"/>
  <c r="L90" i="2"/>
  <c r="M55" i="2"/>
  <c r="Q55" i="2"/>
  <c r="L55" i="2"/>
  <c r="M12" i="2"/>
  <c r="Q12" i="2"/>
  <c r="L12" i="2"/>
  <c r="M45" i="2"/>
  <c r="Q45" i="2"/>
  <c r="L45" i="2"/>
  <c r="M86" i="2"/>
  <c r="Q86" i="2"/>
  <c r="L86" i="2"/>
  <c r="M30" i="2"/>
  <c r="Q30" i="2"/>
  <c r="L30" i="2"/>
  <c r="M13" i="2"/>
  <c r="Q13" i="2"/>
  <c r="L13" i="2"/>
  <c r="M47" i="2"/>
  <c r="Q47" i="2"/>
  <c r="L47" i="2"/>
  <c r="M85" i="2"/>
  <c r="Q85" i="2"/>
  <c r="L85" i="2"/>
  <c r="M88" i="2"/>
  <c r="L88" i="2"/>
  <c r="Q88" i="2"/>
  <c r="M89" i="2"/>
  <c r="Q89" i="2"/>
  <c r="L89" i="2"/>
  <c r="M92" i="2"/>
  <c r="L92" i="2"/>
  <c r="Q92" i="2"/>
  <c r="N74" i="2" l="1"/>
  <c r="N13" i="2"/>
  <c r="N87" i="2"/>
  <c r="N66" i="2"/>
  <c r="N61" i="2"/>
  <c r="N91" i="2"/>
  <c r="N83" i="2"/>
  <c r="N12" i="2"/>
  <c r="N81" i="2"/>
  <c r="N77" i="2"/>
  <c r="N47" i="2"/>
  <c r="N78" i="2"/>
  <c r="N73" i="2"/>
  <c r="N10" i="2"/>
  <c r="N55" i="2"/>
  <c r="N72" i="2"/>
  <c r="N65" i="2"/>
  <c r="N80" i="2"/>
  <c r="N86" i="2"/>
  <c r="N45" i="2"/>
  <c r="N70" i="2"/>
  <c r="N46" i="2"/>
  <c r="N68" i="2"/>
  <c r="N29" i="2"/>
  <c r="N71" i="2"/>
  <c r="N76" i="2"/>
  <c r="N69" i="2"/>
  <c r="N75" i="2"/>
  <c r="N92" i="2"/>
  <c r="N89" i="2"/>
  <c r="N5" i="2"/>
  <c r="N67" i="2"/>
  <c r="N88" i="2"/>
  <c r="N85" i="2"/>
  <c r="N90" i="2"/>
  <c r="N11" i="2"/>
  <c r="N18" i="2"/>
  <c r="N84" i="2"/>
  <c r="N82" i="2"/>
  <c r="N79" i="2"/>
  <c r="N63" i="2"/>
  <c r="N4" i="2"/>
  <c r="L6" i="1"/>
  <c r="M64" i="2"/>
  <c r="K64" i="2"/>
  <c r="Q64" i="2"/>
  <c r="O64" i="2"/>
  <c r="L64" i="2"/>
  <c r="P64" i="2"/>
  <c r="K16" i="2"/>
  <c r="P16" i="2"/>
  <c r="O16" i="2"/>
  <c r="M16" i="2"/>
  <c r="L16" i="2"/>
  <c r="Q16" i="2"/>
  <c r="K39" i="2"/>
  <c r="M39" i="2"/>
  <c r="O39" i="2"/>
  <c r="P39" i="2"/>
  <c r="L39" i="2"/>
  <c r="Q39" i="2"/>
  <c r="K68" i="2"/>
  <c r="K4" i="2"/>
  <c r="L23" i="1"/>
  <c r="L9" i="1"/>
  <c r="K57" i="2"/>
  <c r="L43" i="1"/>
  <c r="K62" i="2"/>
  <c r="K125" i="2"/>
  <c r="K78" i="2"/>
  <c r="K70" i="2"/>
  <c r="K75" i="2"/>
  <c r="L12" i="1"/>
  <c r="K27" i="2"/>
  <c r="L37" i="1"/>
  <c r="K35" i="2"/>
  <c r="L13" i="1"/>
  <c r="K25" i="2"/>
  <c r="K126" i="2"/>
  <c r="K103" i="2"/>
  <c r="L11" i="1"/>
  <c r="K26" i="2"/>
  <c r="K92" i="2"/>
  <c r="K86" i="2"/>
  <c r="K11" i="2"/>
  <c r="K5" i="2"/>
  <c r="K79" i="2"/>
  <c r="K67" i="2"/>
  <c r="L21" i="1"/>
  <c r="K97" i="2"/>
  <c r="L24" i="1"/>
  <c r="L34" i="1"/>
  <c r="K112" i="2"/>
  <c r="K38" i="2"/>
  <c r="L36" i="1"/>
  <c r="K113" i="2"/>
  <c r="K128" i="2"/>
  <c r="L20" i="1"/>
  <c r="K121" i="2"/>
  <c r="K104" i="2"/>
  <c r="L14" i="1"/>
  <c r="K42" i="2"/>
  <c r="L31" i="1"/>
  <c r="K124" i="2"/>
  <c r="K82" i="2"/>
  <c r="K85" i="2"/>
  <c r="L41" i="1"/>
  <c r="K50" i="2"/>
  <c r="K94" i="2"/>
  <c r="K107" i="2"/>
  <c r="K84" i="2"/>
  <c r="K119" i="2"/>
  <c r="L18" i="1"/>
  <c r="K49" i="2"/>
  <c r="K123" i="2"/>
  <c r="K96" i="2"/>
  <c r="K32" i="2"/>
  <c r="K40" i="2"/>
  <c r="K52" i="2"/>
  <c r="K41" i="2"/>
  <c r="K24" i="2"/>
  <c r="K23" i="2"/>
  <c r="K118" i="2"/>
  <c r="K34" i="2"/>
  <c r="K105" i="2"/>
  <c r="K74" i="2"/>
  <c r="L27" i="1"/>
  <c r="K93" i="2"/>
  <c r="K46" i="2"/>
  <c r="K72" i="2"/>
  <c r="K73" i="2"/>
  <c r="L33" i="1"/>
  <c r="K58" i="2"/>
  <c r="K106" i="2"/>
  <c r="K95" i="2"/>
  <c r="K133" i="2"/>
  <c r="K22" i="2"/>
  <c r="K37" i="2"/>
  <c r="K130" i="2"/>
  <c r="K31" i="2"/>
  <c r="K98" i="2"/>
  <c r="L29" i="1"/>
  <c r="K59" i="2"/>
  <c r="K101" i="2"/>
  <c r="L38" i="1"/>
  <c r="K43" i="2"/>
  <c r="K15" i="2"/>
  <c r="K61" i="2"/>
  <c r="L5" i="1"/>
  <c r="L32" i="1"/>
  <c r="L28" i="1"/>
  <c r="L26" i="1"/>
  <c r="K122" i="2"/>
  <c r="K88" i="2"/>
  <c r="K12" i="2"/>
  <c r="K36" i="2"/>
  <c r="K30" i="2"/>
  <c r="K47" i="2"/>
  <c r="K90" i="2"/>
  <c r="K63" i="2"/>
  <c r="K69" i="2"/>
  <c r="K65" i="2"/>
  <c r="K81" i="2"/>
  <c r="K6" i="2"/>
  <c r="K20" i="2"/>
  <c r="L15" i="1"/>
  <c r="K17" i="2"/>
  <c r="K134" i="2"/>
  <c r="K48" i="2"/>
  <c r="K100" i="2"/>
  <c r="K132" i="2"/>
  <c r="L47" i="1"/>
  <c r="K110" i="2"/>
  <c r="K33" i="2"/>
  <c r="L46" i="1"/>
  <c r="K44" i="2"/>
  <c r="L8" i="1"/>
  <c r="K120" i="2"/>
  <c r="L17" i="1"/>
  <c r="K80" i="2"/>
  <c r="K76" i="2"/>
  <c r="K91" i="2"/>
  <c r="K7" i="2"/>
  <c r="K111" i="2"/>
  <c r="K51" i="2"/>
  <c r="K45" i="2"/>
  <c r="K18" i="2"/>
  <c r="K71" i="2"/>
  <c r="K77" i="2"/>
  <c r="K19" i="2"/>
  <c r="K108" i="2"/>
  <c r="K127" i="2"/>
  <c r="K53" i="2"/>
  <c r="K9" i="2"/>
  <c r="L35" i="1"/>
  <c r="K99" i="2"/>
  <c r="L22" i="1"/>
  <c r="L19" i="1"/>
  <c r="L45" i="1"/>
  <c r="K56" i="2"/>
  <c r="K14" i="2"/>
  <c r="L16" i="1"/>
  <c r="K109" i="2"/>
  <c r="L44" i="1"/>
  <c r="K10" i="2"/>
  <c r="K83" i="2"/>
  <c r="K55" i="2"/>
  <c r="K66" i="2"/>
  <c r="K116" i="2"/>
  <c r="L48" i="1"/>
  <c r="K89" i="2"/>
  <c r="K13" i="2"/>
  <c r="K87" i="2"/>
  <c r="K29" i="2"/>
  <c r="K60" i="2"/>
  <c r="K114" i="2"/>
  <c r="K21" i="2"/>
  <c r="K54" i="2"/>
  <c r="K28" i="2"/>
  <c r="L42" i="1"/>
  <c r="K129" i="2"/>
  <c r="K131" i="2"/>
  <c r="L10" i="1"/>
  <c r="K102" i="2"/>
  <c r="L25" i="1"/>
  <c r="L7" i="1"/>
  <c r="L39" i="1"/>
  <c r="L30" i="1"/>
  <c r="L40" i="1"/>
  <c r="M116" i="2"/>
  <c r="P116" i="2"/>
  <c r="O116" i="2"/>
  <c r="L116" i="2"/>
  <c r="Q116" i="2"/>
  <c r="K8" i="2"/>
  <c r="O8" i="2"/>
  <c r="P8" i="2"/>
  <c r="M8" i="2"/>
  <c r="L8" i="2"/>
  <c r="Q8" i="2"/>
  <c r="K117" i="2"/>
  <c r="O117" i="2"/>
  <c r="M117" i="2"/>
  <c r="P117" i="2"/>
  <c r="L117" i="2"/>
  <c r="Q117" i="2"/>
  <c r="L49" i="1" l="1"/>
  <c r="N116" i="2"/>
  <c r="N117" i="2"/>
  <c r="N16" i="2"/>
  <c r="N8" i="2"/>
  <c r="N64" i="2"/>
  <c r="N39" i="2"/>
  <c r="AJ5" i="2"/>
  <c r="AG5" i="2"/>
  <c r="AL5" i="2"/>
  <c r="AK5" i="2"/>
  <c r="AM5" i="2"/>
  <c r="AF5" i="2"/>
  <c r="AM41" i="2"/>
  <c r="AK41" i="2"/>
  <c r="AJ41" i="2"/>
  <c r="AG41" i="2"/>
  <c r="AL41" i="2"/>
  <c r="AF41" i="2"/>
  <c r="AJ6" i="2"/>
  <c r="AK6" i="2"/>
  <c r="AG6" i="2"/>
  <c r="AL6" i="2"/>
  <c r="AM6" i="2"/>
  <c r="AF6" i="2"/>
  <c r="AM18" i="2"/>
  <c r="AL18" i="2"/>
  <c r="AJ18" i="2"/>
  <c r="AG18" i="2"/>
  <c r="AK18" i="2"/>
  <c r="AF18" i="2"/>
  <c r="AG35" i="2"/>
  <c r="AL35" i="2"/>
  <c r="AJ35" i="2"/>
  <c r="AM35" i="2"/>
  <c r="AK35" i="2"/>
  <c r="AF35" i="2"/>
  <c r="AK117" i="2"/>
  <c r="AJ117" i="2"/>
  <c r="AL117" i="2"/>
  <c r="AG117" i="2"/>
  <c r="AM117" i="2"/>
  <c r="AF117" i="2"/>
  <c r="AK90" i="2"/>
  <c r="AM90" i="2"/>
  <c r="AJ90" i="2"/>
  <c r="AL90" i="2"/>
  <c r="AG90" i="2"/>
  <c r="AF90" i="2"/>
  <c r="AU90" i="2" l="1"/>
  <c r="AU35" i="2"/>
  <c r="AU117" i="2"/>
  <c r="AH117" i="2"/>
  <c r="AH90" i="2"/>
  <c r="AI5" i="2"/>
  <c r="AH35" i="2"/>
  <c r="AI41" i="2"/>
  <c r="AI6" i="2"/>
  <c r="AI18" i="2"/>
  <c r="AI90" i="2"/>
  <c r="AI117" i="2"/>
  <c r="AI35" i="2"/>
  <c r="AH18" i="2"/>
  <c r="AH6" i="2"/>
  <c r="AH41" i="2"/>
  <c r="AH5" i="2"/>
  <c r="AG128" i="2"/>
  <c r="AK128" i="2"/>
  <c r="AJ128" i="2"/>
  <c r="AM128" i="2"/>
  <c r="AF128" i="2"/>
  <c r="AL128" i="2"/>
  <c r="AJ34" i="2"/>
  <c r="AL34" i="2"/>
  <c r="AM34" i="2"/>
  <c r="AG34" i="2"/>
  <c r="AF34" i="2"/>
  <c r="AK34" i="2"/>
  <c r="AL96" i="2"/>
  <c r="AG96" i="2"/>
  <c r="AK96" i="2"/>
  <c r="AM96" i="2"/>
  <c r="AF96" i="2"/>
  <c r="AJ96" i="2"/>
  <c r="AJ74" i="2"/>
  <c r="AL74" i="2"/>
  <c r="AG74" i="2"/>
  <c r="AK74" i="2"/>
  <c r="AF74" i="2"/>
  <c r="AM74" i="2"/>
  <c r="AK108" i="2"/>
  <c r="AL108" i="2"/>
  <c r="AJ108" i="2"/>
  <c r="AG108" i="2"/>
  <c r="AF108" i="2"/>
  <c r="AM108" i="2"/>
  <c r="AK39" i="2"/>
  <c r="AJ39" i="2"/>
  <c r="AM39" i="2"/>
  <c r="AL39" i="2"/>
  <c r="AF39" i="2"/>
  <c r="AG39" i="2"/>
  <c r="AK85" i="2"/>
  <c r="AJ85" i="2"/>
  <c r="AG85" i="2"/>
  <c r="AL85" i="2"/>
  <c r="AF85" i="2"/>
  <c r="AM85" i="2"/>
  <c r="AK64" i="2"/>
  <c r="AJ64" i="2"/>
  <c r="AG64" i="2"/>
  <c r="AL64" i="2"/>
  <c r="AF64" i="2"/>
  <c r="AM64" i="2"/>
  <c r="AM15" i="2"/>
  <c r="AL15" i="2"/>
  <c r="AK15" i="2"/>
  <c r="AJ15" i="2"/>
  <c r="AF15" i="2"/>
  <c r="AG15" i="2"/>
  <c r="AM12" i="2"/>
  <c r="AL12" i="2"/>
  <c r="AK12" i="2"/>
  <c r="AJ12" i="2"/>
  <c r="AG12" i="2"/>
  <c r="AF12" i="2"/>
  <c r="AU108" i="2" l="1"/>
  <c r="AU128" i="2"/>
  <c r="AU74" i="2"/>
  <c r="AU12" i="2"/>
  <c r="AU85" i="2"/>
  <c r="AU96" i="2"/>
  <c r="AU64" i="2"/>
  <c r="AH64" i="2"/>
  <c r="AI128" i="2"/>
  <c r="AI74" i="2"/>
  <c r="AH39" i="2"/>
  <c r="AH12" i="2"/>
  <c r="AH34" i="2"/>
  <c r="AI12" i="2"/>
  <c r="AI85" i="2"/>
  <c r="AH15" i="2"/>
  <c r="AI96" i="2"/>
  <c r="AH108" i="2"/>
  <c r="AI64" i="2"/>
  <c r="AI15" i="2"/>
  <c r="AI39" i="2"/>
  <c r="AI108" i="2"/>
  <c r="AI34" i="2"/>
  <c r="AH74" i="2"/>
  <c r="AH96" i="2"/>
  <c r="AH128" i="2"/>
  <c r="AH85" i="2"/>
  <c r="AK86" i="2"/>
  <c r="AL86" i="2"/>
  <c r="AJ86" i="2"/>
  <c r="AM86" i="2"/>
  <c r="AF86" i="2"/>
  <c r="AG86" i="2"/>
  <c r="AU86" i="2" l="1"/>
  <c r="AH86" i="2"/>
  <c r="AI86" i="2"/>
  <c r="AE110" i="2"/>
  <c r="AE131" i="2"/>
  <c r="AE91" i="2"/>
  <c r="AE61" i="2"/>
  <c r="AE89" i="2"/>
  <c r="AE118" i="2"/>
  <c r="AE17" i="2"/>
  <c r="AE113" i="2"/>
  <c r="AE21" i="2"/>
  <c r="AE87" i="2"/>
  <c r="L47" i="5"/>
  <c r="AE115" i="2"/>
  <c r="AE124" i="2"/>
  <c r="AE55" i="2"/>
  <c r="AE117" i="2"/>
  <c r="AE63" i="2"/>
  <c r="L44" i="5"/>
  <c r="AE127" i="2"/>
  <c r="AE77" i="2"/>
  <c r="L38" i="5"/>
  <c r="L27" i="5"/>
  <c r="AE90" i="2"/>
  <c r="L43" i="5"/>
  <c r="AE130" i="2"/>
  <c r="AE44" i="2"/>
  <c r="L25" i="5"/>
  <c r="AE81" i="2"/>
  <c r="AE60" i="2"/>
  <c r="L24" i="5"/>
  <c r="AE74" i="2"/>
  <c r="AE94" i="2"/>
  <c r="L22" i="5"/>
  <c r="AE40" i="2"/>
  <c r="AE122" i="2"/>
  <c r="L46" i="5"/>
  <c r="AE30" i="2"/>
  <c r="AE76" i="2"/>
  <c r="AE51" i="2"/>
  <c r="AE19" i="2"/>
  <c r="L16" i="5"/>
  <c r="L12" i="5"/>
  <c r="AE100" i="2"/>
  <c r="AE39" i="2"/>
  <c r="AE105" i="2"/>
  <c r="L39" i="5"/>
  <c r="AE92" i="2"/>
  <c r="AE119" i="2"/>
  <c r="AE5" i="2"/>
  <c r="L31" i="5"/>
  <c r="AE24" i="2"/>
  <c r="AE88" i="2"/>
  <c r="L13" i="5"/>
  <c r="L8" i="5"/>
  <c r="L30" i="5"/>
  <c r="L41" i="5"/>
  <c r="L33" i="5"/>
  <c r="L23" i="5"/>
  <c r="AE32" i="2"/>
  <c r="AE6" i="2"/>
  <c r="AE104" i="2"/>
  <c r="AE25" i="2"/>
  <c r="L37" i="5"/>
  <c r="AE49" i="2"/>
  <c r="AE28" i="2"/>
  <c r="AE45" i="2"/>
  <c r="L48" i="5"/>
  <c r="AE36" i="2"/>
  <c r="AE80" i="2"/>
  <c r="L42" i="5"/>
  <c r="AE33" i="2"/>
  <c r="AE120" i="2"/>
  <c r="L36" i="5"/>
  <c r="AE16" i="2"/>
  <c r="AE56" i="2"/>
  <c r="L28" i="5"/>
  <c r="AE134" i="2"/>
  <c r="AE68" i="2"/>
  <c r="L17" i="5"/>
  <c r="AE11" i="2"/>
  <c r="AE70" i="2"/>
  <c r="L32" i="5"/>
  <c r="AE52" i="2"/>
  <c r="AE98" i="2"/>
  <c r="L21" i="5"/>
  <c r="L34" i="5"/>
  <c r="AE4" i="2"/>
  <c r="AE66" i="2"/>
  <c r="AE99" i="2"/>
  <c r="AE69" i="2"/>
  <c r="AE107" i="2"/>
  <c r="L45" i="5"/>
  <c r="L14" i="5"/>
  <c r="AE116" i="2"/>
  <c r="AE37" i="2"/>
  <c r="L11" i="5"/>
  <c r="AE10" i="2"/>
  <c r="L7" i="5"/>
  <c r="AE22" i="2"/>
  <c r="AE82" i="2"/>
  <c r="AE13" i="2"/>
  <c r="AE34" i="2"/>
  <c r="AE29" i="2"/>
  <c r="AE106" i="2"/>
  <c r="AE38" i="2"/>
  <c r="AE27" i="2"/>
  <c r="AE73" i="2"/>
  <c r="L5" i="5"/>
  <c r="AE48" i="2"/>
  <c r="AE23" i="2"/>
  <c r="AE114" i="2"/>
  <c r="AE86" i="2"/>
  <c r="AE62" i="2"/>
  <c r="L26" i="5"/>
  <c r="AE132" i="2"/>
  <c r="AE67" i="2"/>
  <c r="L35" i="5"/>
  <c r="AE43" i="2"/>
  <c r="AE126" i="2"/>
  <c r="L10" i="5"/>
  <c r="AE46" i="2"/>
  <c r="AE95" i="2"/>
  <c r="AE42" i="2"/>
  <c r="AE57" i="2"/>
  <c r="AE93" i="2"/>
  <c r="AE123" i="2"/>
  <c r="AE78" i="2"/>
  <c r="AE133" i="2"/>
  <c r="AE59" i="2"/>
  <c r="AE26" i="2"/>
  <c r="AE9" i="2"/>
  <c r="L20" i="5"/>
  <c r="AE111" i="2"/>
  <c r="AE112" i="2"/>
  <c r="L18" i="5"/>
  <c r="AE96" i="2"/>
  <c r="AE85" i="2"/>
  <c r="AE20" i="2"/>
  <c r="AE79" i="2"/>
  <c r="AE128" i="2"/>
  <c r="AE75" i="2"/>
  <c r="AE54" i="2"/>
  <c r="AE7" i="2"/>
  <c r="AE71" i="2"/>
  <c r="AE84" i="2"/>
  <c r="AE121" i="2"/>
  <c r="AE103" i="2"/>
  <c r="AE50" i="2"/>
  <c r="AE83" i="2"/>
  <c r="AE101" i="2"/>
  <c r="AE58" i="2"/>
  <c r="AE15" i="2"/>
  <c r="AE64" i="2"/>
  <c r="AE18" i="2"/>
  <c r="AE125" i="2"/>
  <c r="L6" i="5"/>
  <c r="L40" i="5"/>
  <c r="AE72" i="2"/>
  <c r="AE109" i="2"/>
  <c r="L15" i="5"/>
  <c r="AE65" i="2"/>
  <c r="AE35" i="2"/>
  <c r="AE41" i="2"/>
  <c r="AE108" i="2"/>
  <c r="AE14" i="2"/>
  <c r="L29" i="5"/>
  <c r="L19" i="5"/>
  <c r="AE53" i="2"/>
  <c r="L9" i="5"/>
  <c r="AE47" i="2"/>
  <c r="AE31" i="2"/>
  <c r="AE97" i="2"/>
  <c r="AE8" i="2"/>
  <c r="AE12" i="2"/>
  <c r="AE129" i="2"/>
  <c r="AE102" i="2"/>
  <c r="AG92" i="2"/>
  <c r="AL92" i="2"/>
  <c r="AK92" i="2"/>
  <c r="AJ92" i="2"/>
  <c r="AF92" i="2"/>
  <c r="AM92" i="2"/>
  <c r="AU92" i="2" l="1"/>
  <c r="L49" i="5"/>
  <c r="AH92" i="2"/>
  <c r="AI9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U3" authorId="0" shapeId="0" xr:uid="{CE4FAB52-2A0B-4A55-BCBE-3647F7FBC1A2}">
      <text>
        <r>
          <rPr>
            <sz val="11"/>
            <color theme="1"/>
            <rFont val="Aptos Narrow"/>
            <family val="2"/>
            <scheme val="minor"/>
          </rPr>
          <t>======
ID#AAABfGkqRW4
Administrator    (2025-03-03 01:35:59)
Có GV Review3 tham gia hoi dong</t>
        </r>
      </text>
    </comment>
    <comment ref="BE3" authorId="0" shapeId="0" xr:uid="{5C7C9CEB-C22E-4D02-9025-77FDF9BE796D}">
      <text>
        <r>
          <rPr>
            <sz val="11"/>
            <color theme="1"/>
            <rFont val="Aptos Narrow"/>
            <family val="2"/>
            <scheme val="minor"/>
          </rPr>
          <t>======
ID#AAABfGkqRW8
Administrator    (2025-03-03 01:35:59)
Có GV Review3 tham gia hoi dong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<sst xmlns="http://schemas.openxmlformats.org/spreadsheetml/2006/main" count="1774" uniqueCount="693">
  <si>
    <t>Review 1</t>
  </si>
  <si>
    <t>Date</t>
  </si>
  <si>
    <t>Code</t>
  </si>
  <si>
    <t>Week Code</t>
  </si>
  <si>
    <t>Day Code</t>
  </si>
  <si>
    <t>Slot Code</t>
  </si>
  <si>
    <t>Group Code</t>
  </si>
  <si>
    <t>Date of Week</t>
  </si>
  <si>
    <t>Room</t>
  </si>
  <si>
    <t>Reviewer 1</t>
  </si>
  <si>
    <t>Reviewer 2</t>
  </si>
  <si>
    <t>COUNT</t>
  </si>
  <si>
    <t>TaiNT51</t>
  </si>
  <si>
    <t>NhanDT35</t>
  </si>
  <si>
    <t>PhuongLHK</t>
  </si>
  <si>
    <t>ChiLTQ6</t>
  </si>
  <si>
    <t>PhucNT40</t>
  </si>
  <si>
    <t>MinhTTH5</t>
  </si>
  <si>
    <t>TriPT9</t>
  </si>
  <si>
    <t>TamPM</t>
  </si>
  <si>
    <t>VanTTN2</t>
  </si>
  <si>
    <t>DucDNM2</t>
  </si>
  <si>
    <t>TruongLV11</t>
  </si>
  <si>
    <t>HuongNTC2</t>
  </si>
  <si>
    <t>SangNM18</t>
  </si>
  <si>
    <t>VuLNS</t>
  </si>
  <si>
    <t>LamNN15</t>
  </si>
  <si>
    <t>HoangNT20</t>
  </si>
  <si>
    <t>NgocTTM4</t>
  </si>
  <si>
    <t>ThongNT</t>
  </si>
  <si>
    <t>Tổng</t>
  </si>
  <si>
    <t>WDS Code</t>
  </si>
  <si>
    <t>LongT5</t>
  </si>
  <si>
    <t>PROJECTS INFORMATION</t>
  </si>
  <si>
    <t>REVIEW 1-2-3</t>
  </si>
  <si>
    <t>STT</t>
  </si>
  <si>
    <t>Mã nhóm</t>
  </si>
  <si>
    <t>Mã đề tài</t>
  </si>
  <si>
    <t>Tên đề tài Tiếng Anh/ Tiếng Nhật</t>
  </si>
  <si>
    <t>Tên đề tài Tiếng Việt</t>
  </si>
  <si>
    <t>GVHD</t>
  </si>
  <si>
    <t>GVHD1</t>
  </si>
  <si>
    <t>GVHD2</t>
  </si>
  <si>
    <t>REVIEW 1</t>
  </si>
  <si>
    <t>REVIEW 2</t>
  </si>
  <si>
    <t>REVIEW 3</t>
  </si>
  <si>
    <t>Supervisor Result</t>
  </si>
  <si>
    <t>DEFENSE 1</t>
  </si>
  <si>
    <t>DEFENSE 2</t>
  </si>
  <si>
    <t>Count</t>
  </si>
  <si>
    <t>Conflict</t>
  </si>
  <si>
    <t xml:space="preserve">Slot </t>
  </si>
  <si>
    <t>Result</t>
  </si>
  <si>
    <t>Mã HĐ</t>
  </si>
  <si>
    <t>Conflict Supervisor</t>
  </si>
  <si>
    <t>Match Review2</t>
  </si>
  <si>
    <t>Danh sách</t>
  </si>
  <si>
    <t>Group Count</t>
  </si>
  <si>
    <t>Conflict1</t>
  </si>
  <si>
    <t>Conflict2</t>
  </si>
  <si>
    <t>Reviewer Check</t>
  </si>
  <si>
    <t>State</t>
  </si>
  <si>
    <t>Review 3- Supervisor Different</t>
  </si>
  <si>
    <t>Review3 - Supervisor-Defense 1 Different</t>
  </si>
  <si>
    <t>Nguyễn Minh Sang</t>
  </si>
  <si>
    <t>KiemHH</t>
  </si>
  <si>
    <t>Phạm Thanh Trí</t>
  </si>
  <si>
    <t>ThinhDP2</t>
  </si>
  <si>
    <t>Nguyễn Trí Thông</t>
  </si>
  <si>
    <t>Tôn Thất Hoàng Minh</t>
  </si>
  <si>
    <t>Trần Ngọc Như Quỳnh</t>
  </si>
  <si>
    <t>QuynhTNN4</t>
  </si>
  <si>
    <t>Đỗ Phúc Thịnh</t>
  </si>
  <si>
    <t>Thân Thị Ngọc Vân</t>
  </si>
  <si>
    <t>Vũ Thị Thùy Dương</t>
  </si>
  <si>
    <t>DuongVTT9</t>
  </si>
  <si>
    <t>NguyenTT15</t>
  </si>
  <si>
    <t>HuynhTT4</t>
  </si>
  <si>
    <t>Nguyễn Ngọc Lâm</t>
  </si>
  <si>
    <t>Lại Đức Hùng</t>
  </si>
  <si>
    <t>Phan Minh Tâm</t>
  </si>
  <si>
    <t>Lê Vũ Trường</t>
  </si>
  <si>
    <t>Lâm Hữu Khánh Phương</t>
  </si>
  <si>
    <t>Đỗ Tấn Nhàn</t>
  </si>
  <si>
    <t>Kiều Trọng Khánh</t>
  </si>
  <si>
    <t>KhanhKT</t>
  </si>
  <si>
    <t>AnNDH2</t>
  </si>
  <si>
    <t>Huỳnh Công Việt Ngữ</t>
  </si>
  <si>
    <t>NguHCV</t>
  </si>
  <si>
    <t>Nguyễn Trọng Tài</t>
  </si>
  <si>
    <t>Nguyễn Thị Cẩm Hương</t>
  </si>
  <si>
    <t>Lê Nguyễn Sơn Vũ</t>
  </si>
  <si>
    <t>Nguyễn Nguyên Bình</t>
  </si>
  <si>
    <t>FA25SE224</t>
  </si>
  <si>
    <t>Project Unalive – Turn-based Tactical RPG with Life Simulation and Visual Novel Storytelling</t>
  </si>
  <si>
    <t>Vong Sinh – Trò chơi chiến thuật theo lượt kết hợp mô phỏng đời sống và tiểu thuyết hình ảnh</t>
  </si>
  <si>
    <t>SP26SE036</t>
  </si>
  <si>
    <t>GSP26SE31</t>
  </si>
  <si>
    <t>Shrimp Farm Management Platform</t>
  </si>
  <si>
    <t>Nền tảng quản lý trang trại nuôi tôm</t>
  </si>
  <si>
    <t>SP26SE037</t>
  </si>
  <si>
    <t>GSP26SE12</t>
  </si>
  <si>
    <t>Hệ thống quản lý và số hóa Giáo trình (SMD)</t>
  </si>
  <si>
    <t>SP26SE038</t>
  </si>
  <si>
    <t>GSP26SE48</t>
  </si>
  <si>
    <t>PlantDecor: Smart Plant &amp; Interior Green Design with AI Assistant</t>
  </si>
  <si>
    <t>PlantDecor: Ứng dụng mua bán cây cảnh &amp; thiết kế không gian xanh thông minh tích hợp AI</t>
  </si>
  <si>
    <t>SP26SE039</t>
  </si>
  <si>
    <t>GSP26SE93</t>
  </si>
  <si>
    <t>Decentralized Blockchain-based Healthcare System for Secure Electronic Health Records (EHR) Management</t>
  </si>
  <si>
    <t>Hệ thống quản lý hồ sơ y tế điện tử phi tập trung ứng dụng Blockchain</t>
  </si>
  <si>
    <t>SP26SE040</t>
  </si>
  <si>
    <t>GSP26SE110</t>
  </si>
  <si>
    <t>Next-Generation Intelligent Warehouse Orchestration System Powered by AI</t>
  </si>
  <si>
    <t>Nền tảng điều phối kho hàng thế hệ mới ứng dụng trí tuệ nhân tạo</t>
  </si>
  <si>
    <t>SP26SE041</t>
  </si>
  <si>
    <t>GSP26SE15</t>
  </si>
  <si>
    <t>Admission Consulting Platform for Private High Schools in Ho Chi Minh City</t>
  </si>
  <si>
    <t>Nền tảng tư vấn tuyển sinh vào Trường Trung Học Phổ Thông Tư Thục tại TPHCM</t>
  </si>
  <si>
    <t>SP26SE042</t>
  </si>
  <si>
    <t>GSP26SE88</t>
  </si>
  <si>
    <t>AI-Powered Perfume Sales &amp; Personalized Consultation System</t>
  </si>
  <si>
    <t>Hệ thống quản lý bán nước hoa và tư vấn cá nhân hóa bằng trí tuệ nhân tạo</t>
  </si>
  <si>
    <t>SP26SE043</t>
  </si>
  <si>
    <t>GSP26SE82</t>
  </si>
  <si>
    <t>Smart Motorcycle Parking Management System with License Plate &amp; Face Recognition</t>
  </si>
  <si>
    <t>Hệ thống quản lý bãi giữ xe máy thông minh tích hợp nhận dạng biển số và khuôn mặt</t>
  </si>
  <si>
    <t>SP26SE044</t>
  </si>
  <si>
    <t>GSP26SE69</t>
  </si>
  <si>
    <t>MelodyQuest - AI-Powered Gamified Music Learning Platform</t>
  </si>
  <si>
    <t>MelodyQuest - Nền Tảng Học Âm Nhạc Có Hỗ Trợ AI Theo Phong Cách Trò Chơi</t>
  </si>
  <si>
    <t>SP26SE045</t>
  </si>
  <si>
    <t>GSP26SE19</t>
  </si>
  <si>
    <t>Skillverse – AI-powered Career &amp; Learning Ecosystem</t>
  </si>
  <si>
    <t>Skillverse – Nền tảng AI định hướng nghề nghiệp và học kỹ năng thông minh</t>
  </si>
  <si>
    <t>SP26SE046</t>
  </si>
  <si>
    <t>GSP26SE24</t>
  </si>
  <si>
    <t>Artisan Mechanical Keyboard Collective</t>
  </si>
  <si>
    <t>Nền tảng Bàn Phím Cơ Thủ Công</t>
  </si>
  <si>
    <t>SP26SE047</t>
  </si>
  <si>
    <t>GSP26SE116</t>
  </si>
  <si>
    <t>AniMusic - Automated Music Visualization System</t>
  </si>
  <si>
    <t>AniMusic - Hệ Thống Tạo Video Âm Nhạc Trực Quan</t>
  </si>
  <si>
    <t>SP26SE048</t>
  </si>
  <si>
    <t>GSP26SE78</t>
  </si>
  <si>
    <t>Smart Ornamental Plant Support System</t>
  </si>
  <si>
    <t>Hệ thống hỗ trợ chăm sóc cây cảnh trang trí</t>
  </si>
  <si>
    <t>SP26SE049</t>
  </si>
  <si>
    <t>GSP26SE01</t>
  </si>
  <si>
    <t>SkillSnap Showcase Portfolio – Swipe-based Personal Branding Platform</t>
  </si>
  <si>
    <t>Nền tảng xây dựng thương hiệu cá nhân dạng swipe</t>
  </si>
  <si>
    <t>SP26SE050</t>
  </si>
  <si>
    <t>GSP26SE77</t>
  </si>
  <si>
    <t>SpeakVN Journey - AI-Powered Vietnamese Pronunciation Correction Game</t>
  </si>
  <si>
    <t>Hành Trình Nói Chuẩn - Game Rèn Luyện Phát Âm Tiếng Việt Với AI</t>
  </si>
  <si>
    <t>SP26SE051</t>
  </si>
  <si>
    <t>GSP26SE03</t>
  </si>
  <si>
    <t>Postpartum Care Service Platform</t>
  </si>
  <si>
    <t>Dịch vụ chăm sóc em bé và mẹ sau sinh</t>
  </si>
  <si>
    <t>SP26SE052</t>
  </si>
  <si>
    <t>GSP26SE104</t>
  </si>
  <si>
    <t>Catholic Pilgrimage Guide App</t>
  </si>
  <si>
    <t>Ứng dụng hướng dẫn hành hương đến các địa điểm hành hương Công giáo Việt Nam</t>
  </si>
  <si>
    <t>SP26SE053</t>
  </si>
  <si>
    <t>GSP26SE109</t>
  </si>
  <si>
    <t>Nền tảng đặt hàng tùy biến sản phẩm lưu niệm Công giáo</t>
  </si>
  <si>
    <t>SP26SE054</t>
  </si>
  <si>
    <t>GSP26SE60</t>
  </si>
  <si>
    <t>Motorcycle Ride-Matching Solution Based on Student Mobility Corridors</t>
  </si>
  <si>
    <t>Giải pháp ghép chuyến xe máy dựa trên hành lang di chuyển của sinh viên</t>
  </si>
  <si>
    <t>SP26SE055</t>
  </si>
  <si>
    <t>GSP26SE115</t>
  </si>
  <si>
    <t>IntelliServOps – Intelligent Serviced Apartment Operations Platform</t>
  </si>
  <si>
    <t>Nền tảng Quản lý Vận hành Căn hộ Dịch vụ Thông minh</t>
  </si>
  <si>
    <t>SP26SE056</t>
  </si>
  <si>
    <t>GSP26SE118</t>
  </si>
  <si>
    <t>Context-Aware Micro-Journey Experience Assistant</t>
  </si>
  <si>
    <t>Hệ thống trợ lý trải nghiệm di chuyển theo ngữ cảnh</t>
  </si>
  <si>
    <t>SP26SE057</t>
  </si>
  <si>
    <t>GSP26SE22</t>
  </si>
  <si>
    <t>AI-powered Startup Ecosystem Platform</t>
  </si>
  <si>
    <t>Nền tảng Hệ sinh thái Khởi nghiệp ứng dụng Trí tuệ Nhân tạo</t>
  </si>
  <si>
    <t>SP26SE058</t>
  </si>
  <si>
    <t>GSP26SE101</t>
  </si>
  <si>
    <t>3D Printing Sales and On-Demand Manufacturing System with AI-Assisted Model Generation</t>
  </si>
  <si>
    <t>Hệ thống quản lý bán hàng và in 3D theo yêu cầu tích hợp AI sinh mô hình 3D từ hình ảnh</t>
  </si>
  <si>
    <t>SP26SE059</t>
  </si>
  <si>
    <t>GSP26SE04</t>
  </si>
  <si>
    <t>SaaS Smart Restaurant Management Platform with QR Code Ordering</t>
  </si>
  <si>
    <t>Nền tảng SaaS quản lý nhà hàng thông minh với gọi món QR</t>
  </si>
  <si>
    <t>SP26SE060</t>
  </si>
  <si>
    <t>GSP26SE96</t>
  </si>
  <si>
    <t>Agricultural Seasonal Recruitment Platform - Quick Hire for Harvest and Land Preparation</t>
  </si>
  <si>
    <t>Nền tảng tuyển dụng_tìm việc thời vụ cho nông nghiệp (vài ngày thu hoạch, vài ngày chuẩn bị đất đai trước mùa vụ,...)</t>
  </si>
  <si>
    <t>SP26SE061</t>
  </si>
  <si>
    <t>GSP26SE130</t>
  </si>
  <si>
    <t>BoxHub – Sleepbox and Staycation Short-term Accommodation Platform</t>
  </si>
  <si>
    <t>Nền tảng đặt phòng Sleepbox và Staycation ngắn hạn tại TP.HCM</t>
  </si>
  <si>
    <t>SP26SE062</t>
  </si>
  <si>
    <t>GSP26SE41</t>
  </si>
  <si>
    <t>WeatherTrip – AI-Driven Weather-Adaptive Travel Planner</t>
  </si>
  <si>
    <t>WeatherTrip – Ứng dụng lập lịch trình du lịch thích ứng thời tiết hỗ trợ bởi AI</t>
  </si>
  <si>
    <t>SP26SE063</t>
  </si>
  <si>
    <t>GSP26SE07</t>
  </si>
  <si>
    <t>A Comprehensive Korean Learning Platform from Beginner to TOPIK, integrating Gamification Strategies, SRS Flashcards, and AI-powered Pronunciation Practice</t>
  </si>
  <si>
    <t>Nền tảng học tiếng Hàn toàn diện từ Sơ cấp đến TOPIK, tích hợp chiến lược Gamification, Flashcard SRS và tính năng Luyện phát âm hỗ trợ bởi AI</t>
  </si>
  <si>
    <t>SP26SE064</t>
  </si>
  <si>
    <t>GSP26SE11</t>
  </si>
  <si>
    <t>HCM Digitalized Street Food Application</t>
  </si>
  <si>
    <t>Ứng dụng bản đồ hóa món ăn đường phố Hồ Chí Minh</t>
  </si>
  <si>
    <t>SP26SE065</t>
  </si>
  <si>
    <t>GSP26SE126</t>
  </si>
  <si>
    <t>Medical Tourism Platform for Domestic Travelers</t>
  </si>
  <si>
    <t>Nền tảng du lịch kết hợp với chữa bệnh dành cho khách hàng nội địa</t>
  </si>
  <si>
    <t>SP26SE066</t>
  </si>
  <si>
    <t>GSP26SE99</t>
  </si>
  <si>
    <t>Modern Ritual Offering Service Platform</t>
  </si>
  <si>
    <t>Nền tảng cung cấp dịch vụ mâm cúng hiện đại</t>
  </si>
  <si>
    <t>SP26SE067</t>
  </si>
  <si>
    <t>GSP26SE68</t>
  </si>
  <si>
    <t>Virtual Fashion Social Network and Cultural Stylist Assistant</t>
  </si>
  <si>
    <t>Mạng Xã hội Thời trang Ảo và Trợ lý Phong cách Văn hóa</t>
  </si>
  <si>
    <t>SP26SE070</t>
  </si>
  <si>
    <t>GSP26SE114</t>
  </si>
  <si>
    <t>Internal consulting chatbot platform for businesses using RAG</t>
  </si>
  <si>
    <t>Nền tảng chatbot tư vấn nội bộ cho doanh nghiệp dùng RAG</t>
  </si>
  <si>
    <t>SP26SE071</t>
  </si>
  <si>
    <t>GSP26SE20</t>
  </si>
  <si>
    <t>AI-Powered Smart Locker with Facial Recognition for Parcel Delivery</t>
  </si>
  <si>
    <t>Tủ khóa thông minh tích hợp AI nhận diện khuôn mặt cho giao nhận hàng</t>
  </si>
  <si>
    <t>SP26SE073</t>
  </si>
  <si>
    <t>GSP26SE62</t>
  </si>
  <si>
    <t>CHMS - Coastal Homestay Management System</t>
  </si>
  <si>
    <t>Trợ lý phong cách ảo tích hợp quản lý tủ đồ và mạng xã hội chia sẻ thời trang</t>
  </si>
  <si>
    <t>SP26SE074</t>
  </si>
  <si>
    <t>GSP26SE35</t>
  </si>
  <si>
    <t>SDLS - Smart Driving Learning System</t>
  </si>
  <si>
    <t>SP26SE076</t>
  </si>
  <si>
    <t>GSP26SE105</t>
  </si>
  <si>
    <t>PuzKit3D - 3D Puzzle Model Kit Ordering &amp; Custom Design App</t>
  </si>
  <si>
    <t>PuzKit3D - Ứng dụng Đặt mua Mô hình Lắp ráp Trí tuệ 3D &amp; Thiết kế theo yêu cầu</t>
  </si>
  <si>
    <t>SP26SE077</t>
  </si>
  <si>
    <t>GSP26SE52</t>
  </si>
  <si>
    <t>RES-Q - Intelligent System for SOS Triage and Disaster Resource Allocation</t>
  </si>
  <si>
    <t>RES-Q - Hệ thống AI Phân loại tin SOS &amp; Điều phối nguồn lực Cứu trợ thiên tai</t>
  </si>
  <si>
    <t>SP26SE078</t>
  </si>
  <si>
    <t>GSP26SE132</t>
  </si>
  <si>
    <t>Developing an Urban IoT-Based Flood Level Warning System for Ho Chi Minh City</t>
  </si>
  <si>
    <t>Xây dựng hệ thống cảnh báo mực nước trên đường trong nội đô thành phố Hồ Chí Minh</t>
  </si>
  <si>
    <t>SP26SE080</t>
  </si>
  <si>
    <t>GSP26SE40</t>
  </si>
  <si>
    <t>ArtSpace – An Online Art Exhibition Platform</t>
  </si>
  <si>
    <t>Nền tảng triển lãm tranh trực tuyến</t>
  </si>
  <si>
    <t>SP26SE081</t>
  </si>
  <si>
    <t>GSP26SE16</t>
  </si>
  <si>
    <t>An Intelligent Learning System for IELTS Skills Development</t>
  </si>
  <si>
    <t>Hệ thống hỗ trợ học tập và luyện thi các kỹ năng IELTS</t>
  </si>
  <si>
    <t>SP26SE082</t>
  </si>
  <si>
    <t>GSP26SE26</t>
  </si>
  <si>
    <t>Oasis Go – Smart Soundproof Sleeping Pod Booking and Management System for High-Traffic Locations (Airports, Bus Stations, Shopping Malls)</t>
  </si>
  <si>
    <t>Oasis Go – Hệ thống Đặt chỗ và Quản lý Pod Ngủ Cách âm Thông minh tại các Khu vực Tập trung (Sân bay, Bến xe, Trung tâm Thương mại)</t>
  </si>
  <si>
    <t>SP26SE084</t>
  </si>
  <si>
    <t>GSP26SE81</t>
  </si>
  <si>
    <t>BackTrack – Smart Community Platform for Lost-and-Found Items</t>
  </si>
  <si>
    <t>BackTrack – Mạng lưới thông minh kết nối và tìm lại vật phẩm thất lạc</t>
  </si>
  <si>
    <t>SP26SE085</t>
  </si>
  <si>
    <t>GSP26SE32</t>
  </si>
  <si>
    <t>OmniChat - Multi-platform customer messaging management system</t>
  </si>
  <si>
    <t>OmniChat - Hệ thống quản lý tin nhắn khách hàng đa nền tảng</t>
  </si>
  <si>
    <t>SP26SE086</t>
  </si>
  <si>
    <t>GSP26SE61</t>
  </si>
  <si>
    <t>Novelle – AI-Powered Multilingual Book Platform</t>
  </si>
  <si>
    <t>Novelle – Nền tảng sách Đa Ngôn ngữ tích hợp AI</t>
  </si>
  <si>
    <t>SP26SE087</t>
  </si>
  <si>
    <t>GSP26SE18</t>
  </si>
  <si>
    <t>AI-Enhanced Research Lab Management System</t>
  </si>
  <si>
    <t>Hệ thống quản lý phòng thí nghiệm nghiên cứu với hỗ trợ trí tuệ nhân tạo</t>
  </si>
  <si>
    <t>SP26SE088</t>
  </si>
  <si>
    <t>GSP26SE39</t>
  </si>
  <si>
    <t>Comprehensive Event Management Platform with Integrated AI Content Assistant</t>
  </si>
  <si>
    <t>Nền tảng quản lý sự kiện tích hợp trợ lý AI sáng tạo nội dung</t>
  </si>
  <si>
    <t>SP26SE089</t>
  </si>
  <si>
    <t>GSP26SE56</t>
  </si>
  <si>
    <t>Employee Onboarding Optimization Platform</t>
  </si>
  <si>
    <t>Nền tảng tối ưu hóa quy trình Onboarding nhân viên</t>
  </si>
  <si>
    <t>SP26SE090</t>
  </si>
  <si>
    <t>GSP26SE36</t>
  </si>
  <si>
    <t>Short-term Rental Apartment Platform for Tourists</t>
  </si>
  <si>
    <t>Nền tảng cho thuê căn hộ lưu trú ngắn hạn dành cho khách du lịch</t>
  </si>
  <si>
    <t>SP26SE091</t>
  </si>
  <si>
    <t>GSP26SE128</t>
  </si>
  <si>
    <t>AI-Integrated Crop Monitoring and Management System</t>
  </si>
  <si>
    <t>Hệ thống giám sát và quản lý mùa vụ có tích hợp AI</t>
  </si>
  <si>
    <t>SP26SE093</t>
  </si>
  <si>
    <t>GSP26SE123</t>
  </si>
  <si>
    <t>Powered Smart Farm Management &amp; Remote Monitoring Platform</t>
  </si>
  <si>
    <t>Hệ thống Quản lý và Giám sát Nông trại Thông minh từ xa</t>
  </si>
  <si>
    <t>SP26SE095</t>
  </si>
  <si>
    <t>GSP26SE129</t>
  </si>
  <si>
    <t>KMS-Building Sunshine Kindergarten management system</t>
  </si>
  <si>
    <t>KMS-Xây dựng hệ thống quản lý trường mầm non Sunshine</t>
  </si>
  <si>
    <t>SP26SE097</t>
  </si>
  <si>
    <t>GSP26SE08</t>
  </si>
  <si>
    <t>Smart IoT Shelf Network for Consignment Distribution Management of Model Toys</t>
  </si>
  <si>
    <t>Mạng lưới kệ thông minh IoT cho quản lý phân phối đồ chơi mô hình theo hình thức ký gửi</t>
  </si>
  <si>
    <t>SP26SE098</t>
  </si>
  <si>
    <t>GSP26SE83</t>
  </si>
  <si>
    <t>Ward Safety and Security Application</t>
  </si>
  <si>
    <t>Ứng dụng an toàn an ninh Phường</t>
  </si>
  <si>
    <t>SP26SE099</t>
  </si>
  <si>
    <t>GSP26SE63</t>
  </si>
  <si>
    <t>Scientific Research Project Management System for HyperDataLab</t>
  </si>
  <si>
    <t>Hệ Thống Quản Lý Dự Án Nghiên Cứu Khoa Học Tại HyperDataLab</t>
  </si>
  <si>
    <t>SP26SE101</t>
  </si>
  <si>
    <t>GSP26SE73</t>
  </si>
  <si>
    <t>Web-Based Drone Programming and 3D Simulation Learning System</t>
  </si>
  <si>
    <t>Hệ thống học lập trình drone trên nền web tích hợp mô phỏng 3D</t>
  </si>
  <si>
    <t>SP26SE102</t>
  </si>
  <si>
    <t>GSP26SE131</t>
  </si>
  <si>
    <t>Intelligent RAS-based Fish Culture Advisory System using RAG</t>
  </si>
  <si>
    <t>Hệ thống tư vấn thông minh cho nuôi cá công nghệ tuần hoàn RAS ứng dụng RAG</t>
  </si>
  <si>
    <t>SP26SE103</t>
  </si>
  <si>
    <t>GSP26SE124</t>
  </si>
  <si>
    <t>Designing an Intelligent Web Application for Multi-perspective Long-form Fiction Evaluation with RAG-enhanced Analysis</t>
  </si>
  <si>
    <t>Ứng dụng web thông minh đánh giá truyện dài đa khía cạnh dựa trên RAG</t>
  </si>
  <si>
    <t>SP26SE104</t>
  </si>
  <si>
    <t>GSP26SE70</t>
  </si>
  <si>
    <t>RealVista - AI-Powered 3D Real Estate Platform</t>
  </si>
  <si>
    <t>Nền tảng bất động sản 3D thông minh ứng dụng AI</t>
  </si>
  <si>
    <t>SP26SE106</t>
  </si>
  <si>
    <t>GSP26SE46</t>
  </si>
  <si>
    <t>EduVi- Automated Lesson Digitization System for Transforming Traditional Lessons into Interactive Digital Content</t>
  </si>
  <si>
    <t>EduVi- Hệ thống số hoá bài giảng tự động chuyển đổi bài giảng truyền thống thành nội dung số tương tác</t>
  </si>
  <si>
    <t>SP26SE109</t>
  </si>
  <si>
    <t>GSP26SE49</t>
  </si>
  <si>
    <t>Smart Personalized Enrollment Kiosk with Virtual AI Character Advisor for FPT University HCMC</t>
  </si>
  <si>
    <t>Hệ thống Kiosk tư vấn tuyển sinh cá nhân hóa tích hợp Nhân vật AI tư vấn ảo tại Đại học FPT cơ sở TP. Hồ Chí Minh</t>
  </si>
  <si>
    <t>SP26SE110</t>
  </si>
  <si>
    <t>GSP26SE125</t>
  </si>
  <si>
    <t>BoneVisQA - Interactive Visual Question Answering System for Bone Diseases to Support Medical Students in Diagnostic Practice</t>
  </si>
  <si>
    <t>BoneVisQA - Hệ thống hỏi đáp trực quan về các bệnh lý xương hỗ trợ sinh viên y khoa thực hành chẩn đoán</t>
  </si>
  <si>
    <t>SP26SE111</t>
  </si>
  <si>
    <t>GSP26SE06</t>
  </si>
  <si>
    <t>Integrating AI-Based sanitation evaluation with adaptive process flows to enhance industrial cleaning efficiency</t>
  </si>
  <si>
    <t>Tích hợp đánh giá vệ sinh dựa trên AI với quy trình thích ứng để nâng cao hiệu quả vệ sinh công nghiệp</t>
  </si>
  <si>
    <t>SP26SE113</t>
  </si>
  <si>
    <t>GSP26SE100</t>
  </si>
  <si>
    <t>Children's Bedding E-Commerce and Home Service System</t>
  </si>
  <si>
    <t>Hệ thống thương mại điện tử và dịch vụ chăm sóc giường nệm cho trẻ em</t>
  </si>
  <si>
    <t>SP26SE114</t>
  </si>
  <si>
    <t>GSP26SE112</t>
  </si>
  <si>
    <t>E-Commerce platform for local brands with AI-based product category tagging</t>
  </si>
  <si>
    <t>Nền tảng thương mại điện tử dành cho các thương hiệu địa phương với AI phân loại và gắn nhãn sản phẩm</t>
  </si>
  <si>
    <t>SP26SE115</t>
  </si>
  <si>
    <t>GSP26SE67</t>
  </si>
  <si>
    <t>AIPromo event system: Smart marketing and digital ticketing</t>
  </si>
  <si>
    <t>AIPromo: Hệ thống marketing thông minh và bán vé số hóa cho sự kiện</t>
  </si>
  <si>
    <t>SP26SE116</t>
  </si>
  <si>
    <t>GSP26SE21</t>
  </si>
  <si>
    <t>TravelBuddy – Platform for Connecting Backpackers in Vietnam</t>
  </si>
  <si>
    <t>TravelBuddy – Nền tảng cộng đồng kết nối và tìm kiếm bạn bè phượt bụi tại Việt Nam</t>
  </si>
  <si>
    <t>SP26SE117</t>
  </si>
  <si>
    <t>GSP26SE76</t>
  </si>
  <si>
    <t>ConfMS - Hệ thống quản lý hội nghị khoa học</t>
  </si>
  <si>
    <t>SP26SE118</t>
  </si>
  <si>
    <t>GSP26SE02</t>
  </si>
  <si>
    <t>IoT Base Smart Utility Management System for Rental Properties on HCM City</t>
  </si>
  <si>
    <t>Hệ Thống Quản Lý Nhà Cho Thuê Thông Minh Tích Hợp AI Thành phố Hồ Chí Minh</t>
  </si>
  <si>
    <t>SP26SE120</t>
  </si>
  <si>
    <t>GSP26SE57</t>
  </si>
  <si>
    <t>VietTune Archive - Intelligent Vietnamese Traditional Music Documentation System</t>
  </si>
  <si>
    <t>VietTune Archive - Hệ Thống Lưu Trữ Thông Minh Âm Nhạc Cổ Truyền Việt Nam</t>
  </si>
  <si>
    <t>SP26SE122</t>
  </si>
  <si>
    <t>GSP26SE119</t>
  </si>
  <si>
    <t>Make-to-Order (MTO) Manufacturing Execution System for Packaging</t>
  </si>
  <si>
    <t>Hệ thống điều hành sản xuất theo đơn hàng (MTO) cho doanh nghiệp bao bì</t>
  </si>
  <si>
    <t>SP26SE123</t>
  </si>
  <si>
    <t>GSP26SE44</t>
  </si>
  <si>
    <t>MediMate – Personal &amp; Family Medication Management Assistant</t>
  </si>
  <si>
    <t>MediMate – Trợ lý quản lý lịch thuốc cá nhân và gia đình</t>
  </si>
  <si>
    <t>SP26SE124</t>
  </si>
  <si>
    <t>GSP26SE103</t>
  </si>
  <si>
    <t>Automated feeding management application for poultry farms</t>
  </si>
  <si>
    <t>Ứng dụng quản lý cho ăn tự động cho trang trại gia cầm</t>
  </si>
  <si>
    <t>SP26SE127</t>
  </si>
  <si>
    <t>GSP26SE120</t>
  </si>
  <si>
    <t>Storix – Smart Warehouse Management System with AI-Powered Inventory Tracking and Real-Time Stock Optimization</t>
  </si>
  <si>
    <t>Storix – Hệ thống quản lý kho thông minh tích hợp AI theo dõi tồn kho và tối ưu hóa lưu kho theo thời gian thực</t>
  </si>
  <si>
    <t>SP26SE129</t>
  </si>
  <si>
    <t>GSP26SE65</t>
  </si>
  <si>
    <t>Pulse – The AI-Powered Living Ecosystem</t>
  </si>
  <si>
    <t>Pulse – Hệ sinh thái quản lý tòa nhà thông minh ứng dụng AI</t>
  </si>
  <si>
    <t>SP26SE130</t>
  </si>
  <si>
    <t>GSP26SE121</t>
  </si>
  <si>
    <t>FanHub VTuber – Centralized Fan Community Platform for Independent Vtubers</t>
  </si>
  <si>
    <t>FanHub VTuber – Nền tảng quản lý và xây dựng cộng đồng dành riêng cho VTuber độc lập</t>
  </si>
  <si>
    <t>SP26SE131</t>
  </si>
  <si>
    <t>GSP26SE113</t>
  </si>
  <si>
    <t>SP26SE133</t>
  </si>
  <si>
    <t>GSP26SE107</t>
  </si>
  <si>
    <t>An ML-Based Egg Incubator Management System for Anomaly Detection and User Alerting</t>
  </si>
  <si>
    <t>Xây dựng hệ thống quản lý máy ấp trứng tích hợp học máy để phát hiện bất thường và cảnh báo người dùng</t>
  </si>
  <si>
    <t>SP26SE135</t>
  </si>
  <si>
    <t>GSP26SE09</t>
  </si>
  <si>
    <t>QuizMate AI - AI system for personalized quiz creation tailored to personal learning experiences</t>
  </si>
  <si>
    <t>QuizMate AI - Hệ thống AI tạo và tùy chỉnh quiz thông minh phù hợp với trải nghiệm học tập cá nhân</t>
  </si>
  <si>
    <t>SP26SE136</t>
  </si>
  <si>
    <t>GSP26SE102</t>
  </si>
  <si>
    <t>AgroTrust: A Blockchain-Native Architecture for Equitable Rural Subsidy Management</t>
  </si>
  <si>
    <t>AgroTrust: Phần mềm quản lý trợ cấp nông thôn một cách công bằng dựa trên kiến trúc công nghệ Blockchain</t>
  </si>
  <si>
    <t>SP26SE137</t>
  </si>
  <si>
    <t>GSP26SE05</t>
  </si>
  <si>
    <t>Design and Implementation of an AI-Powered Personalized Educational Plush Toy E-Commerce System</t>
  </si>
  <si>
    <t>Thiết Kế và Xây Dựng Hệ Thống Thương Mại Điện Tử Gấu Bông Giáo Dục Cá Nhân Hóa Ứng Dụng Trí Tuệ Nhân Tạo</t>
  </si>
  <si>
    <t>SP26SE139</t>
  </si>
  <si>
    <t>GSP26SE80</t>
  </si>
  <si>
    <t>Multi-Media AI-Powered Content Creation Management Platform</t>
  </si>
  <si>
    <t>SP26SE140</t>
  </si>
  <si>
    <t>GSP26SE38</t>
  </si>
  <si>
    <t>Automatic Grading System for Java OOP Practical Exams</t>
  </si>
  <si>
    <t>Hệ thống chấm điểm tự động bài thi thực hành Lập trình hướng đối tượng Java</t>
  </si>
  <si>
    <t>SP26SE141</t>
  </si>
  <si>
    <t>GSP26SE122</t>
  </si>
  <si>
    <t>Automatic Grading Tool for Android Mobile Programming Projects</t>
  </si>
  <si>
    <t>Công cụ chấm điểm tự động cho đồ án Lập trình Ứng dụng Android</t>
  </si>
  <si>
    <t>SP26SE142</t>
  </si>
  <si>
    <t>GSP26SE43</t>
  </si>
  <si>
    <t>LLM-Assisted API Test Generation and Execution from Documentation</t>
  </si>
  <si>
    <t>Hệ thống sinh và thực thi kiểm thử API từ tài liệu với sự hỗ trợ của LLM</t>
  </si>
  <si>
    <t>SP26SE143</t>
  </si>
  <si>
    <t>GSP26SE27</t>
  </si>
  <si>
    <t>Multi-Agent Enrollment Management System with LLM Assistance</t>
  </si>
  <si>
    <t>Hệ thống đa tác tử hỗ trợ quản lý tuyển sinh với sự hỗ trợ của LLM</t>
  </si>
  <si>
    <t>SP26SE144</t>
  </si>
  <si>
    <t>GSP26SE95</t>
  </si>
  <si>
    <t>Automated Console-based Programming Assessment System for University Education</t>
  </si>
  <si>
    <t>Hệ thống đánh giá tự động cho lập trình Console trong giáo dục đại học</t>
  </si>
  <si>
    <t>SP26SE145</t>
  </si>
  <si>
    <t>GSP26SE75</t>
  </si>
  <si>
    <t>T.A-I Smart Office – T.A Artificial Intelligent Electronic Office System</t>
  </si>
  <si>
    <t>T.A-I Smart Office - Hệ thống văn phòng điện tử T.A với sự hỗ trợ của AI</t>
  </si>
  <si>
    <t>SP26SE146</t>
  </si>
  <si>
    <t>An Adaptive VSTEP Preparation System with Comprehensive Skill Assessment and Personalized Learning Support</t>
  </si>
  <si>
    <t>Hệ Thống Luyện Thi VSTEP Thích Ứng Với Đánh Giá Toàn Diện Kỹ Năng Và Hỗ Trợ Học Tập Cá Nhân Hóa</t>
  </si>
  <si>
    <t>SP26SE147</t>
  </si>
  <si>
    <t>GSP26SE53</t>
  </si>
  <si>
    <t>An AI-Supported System for Quality Assessment and Feedback on Capstone Project Documents in Software Engineering</t>
  </si>
  <si>
    <t>Hệ thống AI hỗ trợ đánh giá chất lượng và phản hồi tài liệu Capstone Project ngành Kỹ thuật Phần mềm</t>
  </si>
  <si>
    <t>SP26SE148</t>
  </si>
  <si>
    <t>GSP26SE91</t>
  </si>
  <si>
    <t>An AI-Based Student Presentation Recording and Quality Analysis System</t>
  </si>
  <si>
    <t>Hệ thống AI ghi nhận và phân tích chất lượng bài thuyết trình của sinh viên</t>
  </si>
  <si>
    <t>SP26SE150</t>
  </si>
  <si>
    <t>GSP26SE127</t>
  </si>
  <si>
    <t>Managing Competitive Bidding in an E-Commerce System</t>
  </si>
  <si>
    <t>Quản lý cơ chế đặt giá cạnh tranh trong hệ thống thương mại điện tử</t>
  </si>
  <si>
    <t>SP26SE151</t>
  </si>
  <si>
    <t>GSP26SE45</t>
  </si>
  <si>
    <t>CosMate</t>
  </si>
  <si>
    <t>Nền tảng trung gian cho thuê trang phục &amp; dịch vụ cosplay</t>
  </si>
  <si>
    <t>SP26SE152</t>
  </si>
  <si>
    <t>GSP26SE108</t>
  </si>
  <si>
    <t>Transparent Charity Fund Management System</t>
  </si>
  <si>
    <t>Hệ Thống Quản Lý Quỹ Thiện Nguyện Minh Bạch</t>
  </si>
  <si>
    <t>SP26SE156</t>
  </si>
  <si>
    <t>GSP26SE34</t>
  </si>
  <si>
    <t>Applying robots to mental health care for the elderly</t>
  </si>
  <si>
    <t>Ứng dụng robot vào việc chăm sóc sức khỏe tinh thần cho người già</t>
  </si>
  <si>
    <t>SP26SE157</t>
  </si>
  <si>
    <t>GSP26SE89</t>
  </si>
  <si>
    <t>AI-Augmented Capstone Monitoring, Assessment, and Early-Warning System</t>
  </si>
  <si>
    <t>Hệ thống theo dõi, đánh giá và cảnh báo sớm Capstone Project được tăng cường bởi AI</t>
  </si>
  <si>
    <t>SP26SE158</t>
  </si>
  <si>
    <t>GSP26SE17</t>
  </si>
  <si>
    <t>System for Supporting Systematic Research Literature Review Using the PRISMA Framework</t>
  </si>
  <si>
    <t>Hệ thống hỗ trợ thực hiện tổng quan tài liệu nghiên cứu có hệ thống theo khung PRISMA</t>
  </si>
  <si>
    <t>SP26SE159</t>
  </si>
  <si>
    <t>GSP26SE58</t>
  </si>
  <si>
    <t>Player-Centric Performance Analysis and Rating System for Vietnamese Football Leagues</t>
  </si>
  <si>
    <t>Hệ thống phân tích và chấm điểm hiệu suất cầu thủ lấy cầu thủ làm trung tâm cho các giải bóng đá Việt Nam</t>
  </si>
  <si>
    <t>SP26SE271</t>
  </si>
  <si>
    <t>GSP26SE23</t>
  </si>
  <si>
    <t>Electronic Waste Collection Application</t>
  </si>
  <si>
    <t>Ứng dụng thu gom đồ điện tử tái chế</t>
  </si>
  <si>
    <t>SU25SE029</t>
  </si>
  <si>
    <t>GSP26SE54</t>
  </si>
  <si>
    <t>Vietnam Travel Explorer (VietNamSea)</t>
  </si>
  <si>
    <t>Du lịch khám phá Việt Nam</t>
  </si>
  <si>
    <t>SU25SE050</t>
  </si>
  <si>
    <t>GSP26SE30</t>
  </si>
  <si>
    <t>Orchid Research &amp; Lab Management System</t>
  </si>
  <si>
    <t>Hệ thống quản lý phòng lab cấy mô phong lan tại DatLatOrchidLab</t>
  </si>
  <si>
    <t>GSP26SE117</t>
  </si>
  <si>
    <t>SP26SE001</t>
  </si>
  <si>
    <t>GSP26SE92</t>
  </si>
  <si>
    <t>AI-Powered Platform for Snakebite First Aid and Rescue Support</t>
  </si>
  <si>
    <t>Nền tảng hỗ trợ sơ cứu &amp; cứu hộ rắn cắn ứng dụng AI</t>
  </si>
  <si>
    <t>SP26SE002</t>
  </si>
  <si>
    <t>GSP26SE72</t>
  </si>
  <si>
    <t>Couple Mood-Based Date Location Recommendation Platform</t>
  </si>
  <si>
    <t>Nền tảng gợi ý địa điểm hẹn hò dựa trên tâm trạng cặp đôi</t>
  </si>
  <si>
    <t>SP26SE003</t>
  </si>
  <si>
    <t>GSP26SE50</t>
  </si>
  <si>
    <t>Intelligent Platform for Coffee Recipes and Ingredients</t>
  </si>
  <si>
    <t>Nền tảng thông minh cho công thức và nguyên liệu cà phê</t>
  </si>
  <si>
    <t>SP26SE004</t>
  </si>
  <si>
    <t>GSP26SE66</t>
  </si>
  <si>
    <t>Pilates Workout and Sales Management Platform</t>
  </si>
  <si>
    <t>Nền tảng cho tập luyện và bán hàng Pilates</t>
  </si>
  <si>
    <t>SP26SE005</t>
  </si>
  <si>
    <t>GSP26SE51</t>
  </si>
  <si>
    <t>Context-Aware AI Music Streaming System for Retail Stores based on POS Data and AI Music Generation</t>
  </si>
  <si>
    <t>Hệ thống phát nhạc thông minh theo ngữ cảnh cho cửa hàng bán lẻ dựa trên dữ liệu POS và công nghệ tạo nhạc bằng AI</t>
  </si>
  <si>
    <t>SP26SE007</t>
  </si>
  <si>
    <t>GSP26SE71</t>
  </si>
  <si>
    <t>AI-Driven Team Formation and Player Evaluation System</t>
  </si>
  <si>
    <t>Hệ thống hình thành nhóm và đánh giá người tham gia dựa trên AI</t>
  </si>
  <si>
    <t>Trương Long</t>
  </si>
  <si>
    <t>SP26SE009</t>
  </si>
  <si>
    <t>GSP26SE13</t>
  </si>
  <si>
    <t>EV Charging Data Marketplace</t>
  </si>
  <si>
    <t>Chợ dữ liệu trạm sạc xe điện</t>
  </si>
  <si>
    <t>SP26SE010</t>
  </si>
  <si>
    <t>GSP26SE85</t>
  </si>
  <si>
    <t>SmartRecruit – AI-powered Recruitment Platform with Automated Candidate Scoring</t>
  </si>
  <si>
    <t>SmartRecruit – Nền tảng Tuyển dụng thông minh tích hợp AI chấm điểm</t>
  </si>
  <si>
    <t>Lê Thị Quỳnh Chi</t>
  </si>
  <si>
    <t>SP26SE012</t>
  </si>
  <si>
    <t>GSP26SE14</t>
  </si>
  <si>
    <t>A bike rental application that supports seamless travel when using the metro</t>
  </si>
  <si>
    <t>Ứng dụng cho thuê xe đạp hỗ trợ đi lại liền mạch khi sử dụng metro</t>
  </si>
  <si>
    <t>SP26SE013</t>
  </si>
  <si>
    <t>GSP26SE79</t>
  </si>
  <si>
    <t>WebRTC-based live classes and FastMCP-powered AI feedback solution for a Japanese Learning Center</t>
  </si>
  <si>
    <t>Giải pháp lớp học trực tuyến WebRTC và AI phản hồi thời gian thực bằng FastMCP cho trung tâm Nhật Ngữ</t>
  </si>
  <si>
    <t>SP26SE014</t>
  </si>
  <si>
    <t>GSP26SE42</t>
  </si>
  <si>
    <t>EcoVerse - Interactive Recycling Education Game for Kids</t>
  </si>
  <si>
    <t>Ứng dụng giáo dục phân loại rác cho trẻ em và học sinh thông qua chơi game tích điểm và đổi quà</t>
  </si>
  <si>
    <t>Nguyễn Tấn Phúc</t>
  </si>
  <si>
    <t>SP26SE016</t>
  </si>
  <si>
    <t>GSP26SE33</t>
  </si>
  <si>
    <t>Build a platform to purchase cheaper close expiration products</t>
  </si>
  <si>
    <t>Ứng dụng AI để phát triển nền tảng để bán các sản phẩm cận hạn</t>
  </si>
  <si>
    <t>SP26SE018</t>
  </si>
  <si>
    <t>GSP26SE87</t>
  </si>
  <si>
    <t>Electric Vehicle Co-Ownership Trading and Shared Usage Platform</t>
  </si>
  <si>
    <t>Nền tảng giao dịch đồng sở hữu và chia sẻ sử dụng xe điện</t>
  </si>
  <si>
    <t>SP26SE019</t>
  </si>
  <si>
    <t>GSP26SE97</t>
  </si>
  <si>
    <t>Multi-Agent AI Assistant for Stock Investment</t>
  </si>
  <si>
    <t>Trợ lý AI đa tác tử cho đầu tư chứng khoán</t>
  </si>
  <si>
    <t>SP26SE021</t>
  </si>
  <si>
    <t>GSP26SE59</t>
  </si>
  <si>
    <t>SoundMates – A Platform for Emotional Podcast Letters, Live Sharing Sessions, and Music Experiences</t>
  </si>
  <si>
    <t>SoundMates – Nền tảng thư podcast, phiên chia sẻ trực tiếp và trải nghiệm âm nhạc</t>
  </si>
  <si>
    <t>SP26SE022</t>
  </si>
  <si>
    <t>GSP26SE111</t>
  </si>
  <si>
    <t>Artchain  - Young Talent Art Challenge Hub</t>
  </si>
  <si>
    <t>Artchain - Sân chơi tranh vẽ tay cho các bạn trẻ sáng tạo</t>
  </si>
  <si>
    <t>SP26SE023</t>
  </si>
  <si>
    <t>GSP26SE90</t>
  </si>
  <si>
    <t>BitLearning– Online Coding Learning System Connecting Instructors and Learners</t>
  </si>
  <si>
    <t>BitLearning– Hệ thống học lập trình trực tuyến kết nối giáo viên và học viên</t>
  </si>
  <si>
    <t>SP26SE025</t>
  </si>
  <si>
    <t>GSP26SE55</t>
  </si>
  <si>
    <t>System for Retinal Vascular Health Screening</t>
  </si>
  <si>
    <t>Hệ Thống Sàng Lọc Sức Khỏe Mạch Máu Võng Mạc</t>
  </si>
  <si>
    <t>Nguyễn Văn Chiến
Trương Hoàng Vinh</t>
  </si>
  <si>
    <t>SP26SE026</t>
  </si>
  <si>
    <t>GSP26SE94</t>
  </si>
  <si>
    <t>MathMaster – Teaching Support Platform for Mathematics Educators</t>
  </si>
  <si>
    <t>MathMaster– Nền tảng hỗ trợ giảng dạy dành cho giáo viên môn Toán</t>
  </si>
  <si>
    <t>SP26SE027</t>
  </si>
  <si>
    <t>GSP26SE84</t>
  </si>
  <si>
    <t>Basico Learning and Advisory Ecosystem</t>
  </si>
  <si>
    <t>Hệ thống đào tạo và tư vấn Basico</t>
  </si>
  <si>
    <t>SP26SE028</t>
  </si>
  <si>
    <t>GSP26SE29</t>
  </si>
  <si>
    <t>QuackOrbit - A 2D Game-Based Platform for Learning Programming Logic</t>
  </si>
  <si>
    <t>Nền tảng game 2D học logic lập trình</t>
  </si>
  <si>
    <t>SP26SE030</t>
  </si>
  <si>
    <t>GSP26SE25</t>
  </si>
  <si>
    <t>BizFlow - Platform to support digital transformation for household businesses</t>
  </si>
  <si>
    <t>BizFlow - Nền tảng hỗ trợ chuyển đổi số cho hộ kinh doanh</t>
  </si>
  <si>
    <t>Nguyễn Văn Chiến
Phạm Thanh Trí</t>
  </si>
  <si>
    <t>SP26SE031</t>
  </si>
  <si>
    <t>GSP26SE37</t>
  </si>
  <si>
    <t>Vietnam Flood &amp; Disaster Relief Management System</t>
  </si>
  <si>
    <t>Hệ thống Quản lý Cứu Trợ – Thiên Tai Lũ Lụt Việt Nam</t>
  </si>
  <si>
    <t>SP26SE032</t>
  </si>
  <si>
    <t>GSP26SE74</t>
  </si>
  <si>
    <t xml:space="preserve">Academic Management System for Rex English Center
</t>
  </si>
  <si>
    <t>Hệ thống quản trị học vụ cho Trung tâm tiếng Anh Rex</t>
  </si>
  <si>
    <t>SP26SE033</t>
  </si>
  <si>
    <t>GSP26SE28</t>
  </si>
  <si>
    <t>EngConnect – Your AI-Powered English Learning Platform</t>
  </si>
  <si>
    <t>EngConnect – Nền tảng học tiếng Anh thông minh với AI</t>
  </si>
  <si>
    <t>Nguyễn Văn Chiến</t>
  </si>
  <si>
    <t>Syllabus Management and Digitalization System of  the University (SMD)</t>
  </si>
  <si>
    <t>Nguyễn Xuân Huy
Nguyễn Trọng Tài</t>
  </si>
  <si>
    <t>Đặng Ngọc Minh Đức
Thân Thị Ngọc Vân</t>
  </si>
  <si>
    <t xml:space="preserve">Catholic Souvenir Custom Order Platform </t>
  </si>
  <si>
    <t>Trần Thanh Nguyên
Trần Trọng Huỳnh</t>
  </si>
  <si>
    <t>Nguyễn Hoàng Linh</t>
  </si>
  <si>
    <t>Phan Minh Tâm
Hồ Hoàn Kiếm</t>
  </si>
  <si>
    <t>SP26SE068</t>
  </si>
  <si>
    <t>GSP26SE10</t>
  </si>
  <si>
    <t>Buffet Service Booking Management System for Home and Company</t>
  </si>
  <si>
    <t>Hệ thống quản lý đặt tiệc các dịch vụ buffet tại nhà và công ty</t>
  </si>
  <si>
    <t>Đặng Ngọc Minh Đức</t>
  </si>
  <si>
    <t>SDLS  - Hệ thống Học Lái Xe Thông Minh</t>
  </si>
  <si>
    <t>Nguyễn Thị Cẩm Hương
Huỳnh Công Việt Ngữ</t>
  </si>
  <si>
    <t>Nguyễn Văn Chiến
Huỳnh Công Việt Ngữ</t>
  </si>
  <si>
    <t>Phạm Minh Trí
Đặng Ngọc Minh Đức</t>
  </si>
  <si>
    <t>Trương Long
Phạm Thanh Trí</t>
  </si>
  <si>
    <t xml:space="preserve"> ConfMS-A Full-Stack Conference Management System</t>
  </si>
  <si>
    <t>SP26SE126</t>
  </si>
  <si>
    <t>GSP26SE86</t>
  </si>
  <si>
    <t>Glassify – Smart Glasses E-Commerce Platform with AI Face Detection and Real-Time Virtual Try-On</t>
  </si>
  <si>
    <t>Glassify – Nền tảng thương mại điện tử bán kính thông minh tích hợp AI nhận diện khuôn mặt và thử kính trực tiếp</t>
  </si>
  <si>
    <t xml:space="preserve">Building a School Bus Management System integrated with  Facial Recognition </t>
  </si>
  <si>
    <t>Xây dựng ứng dụng quản lý dịch vụ đưa đón học sinh  tích hợp nhận diện khuôn mặt</t>
  </si>
  <si>
    <t>Lâm Hữu Khánh Phương
Trần Trọng Huỳnh</t>
  </si>
  <si>
    <t xml:space="preserve"> Nền tảng AI quản lý tạo Nội dung đa mạng xã hội</t>
  </si>
  <si>
    <t>Lý Tuấn Anh
Đỗ Đức Hào</t>
  </si>
  <si>
    <t>Trương Thị Mỹ Ngọc</t>
  </si>
  <si>
    <t>Lý Tuấn Anh</t>
  </si>
  <si>
    <t>Nguyễn Trọng Tài
Nguyễn Xuân Huy</t>
  </si>
  <si>
    <t>Bùi Thị Thu Thủy</t>
  </si>
  <si>
    <t>GSP26SE98</t>
  </si>
  <si>
    <t>Ohm Electronics Lab Activity Management System - FUHCM</t>
  </si>
  <si>
    <t>Hệ thống quản lý hoạt động phòng Lab Điện Tử - FUHCM</t>
  </si>
  <si>
    <t>Name</t>
  </si>
  <si>
    <t>Department</t>
  </si>
  <si>
    <t>ITS</t>
  </si>
  <si>
    <t>SE</t>
  </si>
  <si>
    <t>CF</t>
  </si>
  <si>
    <t>HungLD5</t>
  </si>
  <si>
    <t>QuanTP</t>
  </si>
  <si>
    <t>SuTV</t>
  </si>
  <si>
    <t>TrungNQ</t>
  </si>
  <si>
    <t>Day Of Week</t>
  </si>
  <si>
    <t>LinhNH</t>
  </si>
  <si>
    <t>ChienNV</t>
  </si>
  <si>
    <t>VinhTH</t>
  </si>
  <si>
    <t>HuyNX</t>
  </si>
  <si>
    <t>TriPM2</t>
  </si>
  <si>
    <t>BinhNN</t>
  </si>
  <si>
    <t>AnhLT51</t>
  </si>
  <si>
    <t>HaoDD</t>
  </si>
  <si>
    <t>NgocTTM</t>
  </si>
  <si>
    <t>ThuyBTT</t>
  </si>
  <si>
    <t>SU25SE070</t>
  </si>
  <si>
    <t>GSP26SE47</t>
  </si>
  <si>
    <t>SP26SE138</t>
  </si>
  <si>
    <t>Design and Implementation of a Centralized STEM–AI Teaching Operations Management System at FTSEM Project</t>
  </si>
  <si>
    <t>Thiết Kế và Xây Dựng Hệ Thống Quản Lý Vận Hành Giảng Dạy STEM–AI Tập Trung tại dự án FSTEM</t>
  </si>
  <si>
    <t>Lam Huu Khanh Phuong</t>
  </si>
  <si>
    <t>GSP26SE64</t>
  </si>
  <si>
    <t>Day of Week</t>
  </si>
  <si>
    <t>NVH G.02</t>
  </si>
  <si>
    <t>NVH G.01</t>
  </si>
  <si>
    <t>LB21 (Thư viên Campus)</t>
  </si>
  <si>
    <t>NVH G.04</t>
  </si>
  <si>
    <t>NVH G.05</t>
  </si>
  <si>
    <t>NVH 420</t>
  </si>
  <si>
    <t>NVH 421</t>
  </si>
  <si>
    <t>Review 2</t>
  </si>
  <si>
    <t>Review2</t>
  </si>
  <si>
    <t>Review3</t>
  </si>
  <si>
    <t>Review 3</t>
  </si>
  <si>
    <t>NVH.414</t>
  </si>
  <si>
    <t>NVH.301</t>
  </si>
  <si>
    <t>NVH.306</t>
  </si>
  <si>
    <t>NVH.415</t>
  </si>
  <si>
    <t>Danh Sách Hội Đồng</t>
  </si>
  <si>
    <t>Ngày bắt đầu</t>
  </si>
  <si>
    <t>No</t>
  </si>
  <si>
    <t>Day</t>
  </si>
  <si>
    <t>Chủ tịch</t>
  </si>
  <si>
    <t>Thư ký</t>
  </si>
  <si>
    <t>Thành viên 1</t>
  </si>
  <si>
    <t>Thành viên 2</t>
  </si>
  <si>
    <t>Thành viên 3</t>
  </si>
  <si>
    <t>Danh sách thành viên</t>
  </si>
  <si>
    <t>Số đề tài</t>
  </si>
  <si>
    <t>Defense2</t>
  </si>
  <si>
    <t>Defense1</t>
  </si>
  <si>
    <t>Fail</t>
  </si>
  <si>
    <t>NgocTT4</t>
  </si>
  <si>
    <t>Defense 1</t>
  </si>
  <si>
    <t>LinhNV (Long Chau)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</si>
</sst>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color rgb="FFFF0000"/>
      <name val="Calibri"/>
      <family val="2"/>
    </font>
    <font>
      <b/>
      <sz val="14"/>
      <color rgb="FFFF0000"/>
      <name val="Calibri"/>
      <family val="2"/>
    </font>
    <font>
      <b/>
      <sz val="11"/>
      <color theme="0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b/>
      <sz val="23"/>
      <color rgb="FF274E13"/>
      <name val="Calibri"/>
      <family val="2"/>
    </font>
    <font>
      <b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theme="4"/>
        <bgColor rgb="FFB6D7A8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130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7" fillId="0" borderId="2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6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7" fillId="0" borderId="2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/>
    </xf>
    <xf numFmtId="0" fontId="7" fillId="0" borderId="20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10" fillId="9" borderId="24" xfId="0" applyFont="1" applyFill="1" applyBorder="1" applyAlignment="1">
      <alignment horizontal="center"/>
    </xf>
    <xf numFmtId="0" fontId="5" fillId="10" borderId="23" xfId="0" applyFont="1" applyFill="1" applyBorder="1" applyAlignment="1">
      <alignment horizontal="center"/>
    </xf>
    <xf numFmtId="0" fontId="5" fillId="10" borderId="0" xfId="0" applyFont="1" applyFill="1" applyAlignment="1">
      <alignment horizontal="center" vertical="center" wrapText="1"/>
    </xf>
    <xf numFmtId="0" fontId="5" fillId="10" borderId="22" xfId="0" applyFont="1" applyFill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0" fontId="10" fillId="10" borderId="24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0" xfId="0" applyFont="1"/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14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1" fillId="0" borderId="0" xfId="1" applyAlignment="1"/>
    <xf numFmtId="0" fontId="5" fillId="0" borderId="2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14" fillId="8" borderId="15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5" fillId="3" borderId="15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5" fillId="0" borderId="26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wrapText="1"/>
    </xf>
    <xf numFmtId="0" fontId="9" fillId="0" borderId="6" xfId="0" applyFont="1" applyBorder="1" applyAlignment="1">
      <alignment vertical="center"/>
    </xf>
    <xf numFmtId="0" fontId="8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4" fillId="11" borderId="2" xfId="0" applyFont="1" applyFill="1" applyBorder="1" applyAlignment="1">
      <alignment horizontal="center"/>
    </xf>
    <xf numFmtId="0" fontId="16" fillId="0" borderId="25" xfId="0" applyFont="1" applyBorder="1" applyAlignment="1">
      <alignment vertical="center"/>
    </xf>
    <xf numFmtId="0" fontId="4" fillId="0" borderId="27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27" xfId="0" applyBorder="1" applyAlignment="1">
      <alignment vertical="center"/>
    </xf>
    <xf numFmtId="0" fontId="4" fillId="0" borderId="5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4" fillId="8" borderId="28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8" fillId="12" borderId="1" xfId="1" applyFont="1" applyFill="1" applyBorder="1">
      <alignment vertical="center"/>
    </xf>
    <xf numFmtId="0" fontId="19" fillId="0" borderId="1" xfId="1" applyFont="1" applyBorder="1" applyAlignment="1"/>
    <xf numFmtId="14" fontId="9" fillId="0" borderId="1" xfId="1" applyNumberFormat="1" applyFont="1" applyBorder="1" applyAlignment="1"/>
    <xf numFmtId="0" fontId="9" fillId="0" borderId="1" xfId="1" applyFont="1" applyBorder="1" applyAlignment="1"/>
    <xf numFmtId="0" fontId="5" fillId="13" borderId="14" xfId="1" applyFont="1" applyFill="1" applyBorder="1" applyAlignment="1">
      <alignment horizontal="center" vertical="center"/>
    </xf>
    <xf numFmtId="0" fontId="5" fillId="13" borderId="2" xfId="1" applyFont="1" applyFill="1" applyBorder="1" applyAlignment="1">
      <alignment horizontal="center" vertical="center"/>
    </xf>
    <xf numFmtId="0" fontId="14" fillId="13" borderId="2" xfId="1" applyFont="1" applyFill="1" applyBorder="1" applyAlignment="1">
      <alignment horizontal="center" vertical="center"/>
    </xf>
    <xf numFmtId="0" fontId="5" fillId="13" borderId="2" xfId="1" applyFont="1" applyFill="1" applyBorder="1" applyAlignment="1">
      <alignment horizontal="center" vertical="center" wrapText="1"/>
    </xf>
    <xf numFmtId="0" fontId="5" fillId="13" borderId="1" xfId="1" applyFont="1" applyFill="1" applyBorder="1" applyAlignment="1">
      <alignment horizontal="center" vertical="center"/>
    </xf>
    <xf numFmtId="0" fontId="5" fillId="14" borderId="2" xfId="1" applyFont="1" applyFill="1" applyBorder="1" applyAlignment="1">
      <alignment horizontal="center" vertical="center"/>
    </xf>
    <xf numFmtId="0" fontId="14" fillId="14" borderId="2" xfId="1" applyFont="1" applyFill="1" applyBorder="1" applyAlignment="1">
      <alignment horizontal="center" vertical="center"/>
    </xf>
    <xf numFmtId="0" fontId="5" fillId="14" borderId="2" xfId="1" applyFont="1" applyFill="1" applyBorder="1" applyAlignment="1">
      <alignment horizontal="center" vertical="center" wrapText="1"/>
    </xf>
    <xf numFmtId="14" fontId="1" fillId="0" borderId="0" xfId="1" applyNumberFormat="1" applyAlignment="1"/>
    <xf numFmtId="0" fontId="1" fillId="0" borderId="0" xfId="2" applyAlignment="1">
      <alignment vertical="center" wrapText="1"/>
    </xf>
    <xf numFmtId="0" fontId="20" fillId="0" borderId="0" xfId="1" applyFont="1" applyAlignment="1"/>
    <xf numFmtId="0" fontId="1" fillId="0" borderId="29" xfId="1" applyBorder="1" applyAlignment="1"/>
    <xf numFmtId="0" fontId="2" fillId="0" borderId="0" xfId="1" applyFont="1" applyAlignment="1"/>
    <xf numFmtId="0" fontId="2" fillId="0" borderId="29" xfId="1" applyFont="1" applyBorder="1" applyAlignment="1"/>
    <xf numFmtId="0" fontId="0" fillId="0" borderId="0" xfId="2" applyFont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1" fillId="15" borderId="0" xfId="2" applyFill="1" applyAlignment="1">
      <alignment vertical="center" wrapText="1"/>
    </xf>
    <xf numFmtId="0" fontId="0" fillId="15" borderId="0" xfId="2" applyFont="1" applyFill="1" applyAlignment="1">
      <alignment vertical="center" wrapText="1"/>
    </xf>
    <xf numFmtId="0" fontId="1" fillId="15" borderId="0" xfId="1" applyFill="1" applyAlignment="1"/>
    <xf numFmtId="0" fontId="4" fillId="15" borderId="2" xfId="0" applyFont="1" applyFill="1" applyBorder="1" applyAlignment="1">
      <alignment vertical="center"/>
    </xf>
    <xf numFmtId="0" fontId="1" fillId="16" borderId="0" xfId="2" applyFill="1" applyAlignment="1">
      <alignment vertical="center" wrapText="1"/>
    </xf>
    <xf numFmtId="0" fontId="5" fillId="8" borderId="20" xfId="0" applyFont="1" applyFill="1" applyBorder="1" applyAlignment="1">
      <alignment horizontal="center"/>
    </xf>
    <xf numFmtId="0" fontId="7" fillId="0" borderId="20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5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0" borderId="18" xfId="0" applyFont="1" applyBorder="1" applyAlignment="1">
      <alignment vertical="center"/>
    </xf>
    <xf numFmtId="0" fontId="5" fillId="6" borderId="20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1" fillId="0" borderId="0" xfId="1" applyBorder="1" applyAlignment="1"/>
    <xf numFmtId="0" fontId="1" fillId="15" borderId="29" xfId="1" applyFill="1" applyBorder="1" applyAlignment="1"/>
    <xf numFmtId="0" fontId="1" fillId="15" borderId="0" xfId="1" applyFill="1" applyBorder="1" applyAlignment="1"/>
    <xf numFmtId="0" fontId="1" fillId="0" borderId="0" xfId="2" applyFill="1" applyAlignment="1">
      <alignment vertical="center" wrapText="1"/>
    </xf>
    <xf numFmtId="0" fontId="0" fillId="0" borderId="0" xfId="2" applyFont="1" applyFill="1" applyAlignment="1">
      <alignment vertical="center" wrapText="1"/>
    </xf>
    <xf numFmtId="0" fontId="2" fillId="0" borderId="0" xfId="1" applyFont="1" applyFill="1" applyAlignment="1"/>
    <xf numFmtId="0" fontId="5" fillId="0" borderId="2" xfId="0" applyFont="1" applyFill="1" applyBorder="1" applyAlignment="1">
      <alignment horizontal="center" vertical="center"/>
    </xf>
    <xf numFmtId="0" fontId="2" fillId="0" borderId="0" xfId="1" applyFont="1" applyFill="1" applyBorder="1" applyAlignment="1"/>
  </cellXfs>
  <cellStyles count="3">
    <cellStyle name="Normal" xfId="0" builtinId="0"/>
    <cellStyle name="Normal 2" xfId="1" xr:uid="{86DA0781-BA49-4C71-888C-645A64B7F07E}"/>
    <cellStyle name="Normal 3" xfId="2" xr:uid="{7A61ACCE-88E5-41A7-B2B7-F3F9CA07C9E2}"/>
  </cellStyles>
  <dxfs count="1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rgb="FF9C0006"/>
      </font>
      <fill>
        <patternFill patternType="none"/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rgb="FF9C0006"/>
      </font>
      <fill>
        <patternFill patternType="none"/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AA71-0C0B-402F-A275-648DAC2BAEBE}">
  <dimension ref="A1:BG143"/>
  <sheetViews>
    <sheetView tabSelected="1" topLeftCell="AW17" zoomScaleNormal="100" workbookViewId="0">
      <selection activeCell="AZ57" sqref="AZ57"/>
    </sheetView>
  </sheetViews>
  <sheetFormatPr defaultRowHeight="14.5" x14ac:dyDescent="0.35"/>
  <cols>
    <col min="1" max="1" width="5.453125" customWidth="1"/>
    <col min="2" max="2" width="0" hidden="1" customWidth="1"/>
    <col min="3" max="3" width="9.90625" customWidth="1"/>
    <col min="4" max="4" width="13" hidden="1" customWidth="1"/>
    <col min="5" max="5" width="36.90625" customWidth="1"/>
    <col min="6" max="6" width="19.54296875" hidden="1" customWidth="1"/>
    <col min="7" max="7" width="31.81640625" style="66" hidden="1" customWidth="1"/>
    <col min="8" max="8" width="11.453125" customWidth="1"/>
    <col min="9" max="9" width="11.08984375" customWidth="1"/>
    <col min="10" max="10" width="11.7265625" hidden="1" customWidth="1"/>
    <col min="11" max="11" width="9.08984375" hidden="1" customWidth="1"/>
    <col min="12" max="12" width="15" hidden="1" customWidth="1"/>
    <col min="13" max="13" width="15.7265625" hidden="1" customWidth="1"/>
    <col min="14" max="14" width="8.7265625" hidden="1" customWidth="1"/>
    <col min="15" max="16" width="14.7265625" hidden="1" customWidth="1"/>
    <col min="17" max="17" width="7.81640625" hidden="1" customWidth="1"/>
    <col min="18" max="18" width="9.08984375" hidden="1" customWidth="1"/>
    <col min="19" max="19" width="19.54296875" hidden="1" customWidth="1"/>
    <col min="20" max="21" width="9.7265625" hidden="1" customWidth="1"/>
    <col min="22" max="29" width="19.54296875" hidden="1" customWidth="1"/>
    <col min="30" max="30" width="10.26953125" hidden="1" customWidth="1"/>
    <col min="31" max="31" width="10.54296875" hidden="1" customWidth="1"/>
    <col min="32" max="32" width="17" hidden="1" customWidth="1"/>
    <col min="33" max="35" width="19.54296875" hidden="1" customWidth="1"/>
    <col min="36" max="36" width="10.1796875" hidden="1" customWidth="1"/>
    <col min="37" max="37" width="9" hidden="1" customWidth="1"/>
    <col min="38" max="38" width="4.7265625" hidden="1" customWidth="1"/>
    <col min="39" max="39" width="12.1796875" hidden="1" customWidth="1"/>
    <col min="40" max="40" width="19.54296875" hidden="1" customWidth="1"/>
    <col min="41" max="41" width="12.54296875" hidden="1" customWidth="1"/>
    <col min="42" max="42" width="7.1796875" customWidth="1"/>
    <col min="43" max="43" width="50.08984375" customWidth="1"/>
    <col min="44" max="44" width="6" hidden="1" customWidth="1"/>
    <col min="45" max="45" width="12.1796875" hidden="1" customWidth="1"/>
    <col min="46" max="46" width="10.81640625" hidden="1" customWidth="1"/>
    <col min="47" max="48" width="19.54296875" hidden="1" customWidth="1"/>
    <col min="49" max="49" width="19.54296875" customWidth="1"/>
    <col min="50" max="51" width="19.54296875" hidden="1" customWidth="1"/>
    <col min="52" max="52" width="19.54296875" customWidth="1"/>
    <col min="53" max="53" width="56.26953125" customWidth="1"/>
    <col min="54" max="59" width="19.54296875" customWidth="1"/>
  </cols>
  <sheetData>
    <row r="1" spans="1:59" ht="19" thickBot="1" x14ac:dyDescent="0.4">
      <c r="A1" s="14"/>
      <c r="B1" s="110" t="s">
        <v>33</v>
      </c>
      <c r="C1" s="111"/>
      <c r="D1" s="111"/>
      <c r="E1" s="111"/>
      <c r="F1" s="111"/>
      <c r="G1" s="111"/>
      <c r="H1" s="111"/>
      <c r="I1" s="111"/>
      <c r="J1" s="112" t="s">
        <v>34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3"/>
      <c r="AO1" s="24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</row>
    <row r="2" spans="1:59" x14ac:dyDescent="0.35">
      <c r="A2" s="26" t="s">
        <v>35</v>
      </c>
      <c r="B2" s="27" t="s">
        <v>36</v>
      </c>
      <c r="C2" s="26" t="s">
        <v>37</v>
      </c>
      <c r="D2" s="28" t="s">
        <v>36</v>
      </c>
      <c r="E2" s="28" t="s">
        <v>38</v>
      </c>
      <c r="F2" s="29" t="s">
        <v>39</v>
      </c>
      <c r="G2" s="64" t="s">
        <v>40</v>
      </c>
      <c r="H2" s="29" t="s">
        <v>41</v>
      </c>
      <c r="I2" s="30" t="s">
        <v>42</v>
      </c>
      <c r="J2" s="114" t="s">
        <v>43</v>
      </c>
      <c r="K2" s="115"/>
      <c r="L2" s="115"/>
      <c r="M2" s="115"/>
      <c r="N2" s="115"/>
      <c r="O2" s="115"/>
      <c r="P2" s="115"/>
      <c r="Q2" s="115"/>
      <c r="R2" s="115"/>
      <c r="S2" s="116"/>
      <c r="T2" s="117" t="s">
        <v>44</v>
      </c>
      <c r="U2" s="117"/>
      <c r="V2" s="115"/>
      <c r="W2" s="115"/>
      <c r="X2" s="115"/>
      <c r="Y2" s="115"/>
      <c r="Z2" s="115"/>
      <c r="AA2" s="115"/>
      <c r="AB2" s="115"/>
      <c r="AC2" s="116"/>
      <c r="AD2" s="118" t="s">
        <v>45</v>
      </c>
      <c r="AE2" s="115"/>
      <c r="AF2" s="115"/>
      <c r="AG2" s="115"/>
      <c r="AH2" s="115"/>
      <c r="AI2" s="115"/>
      <c r="AJ2" s="115"/>
      <c r="AK2" s="115"/>
      <c r="AL2" s="115"/>
      <c r="AM2" s="115"/>
      <c r="AN2" s="119"/>
      <c r="AO2" s="31" t="s">
        <v>46</v>
      </c>
      <c r="AP2" s="120" t="s">
        <v>47</v>
      </c>
      <c r="AQ2" s="109"/>
      <c r="AR2" s="109"/>
      <c r="AS2" s="109"/>
      <c r="AT2" s="109"/>
      <c r="AU2" s="109"/>
      <c r="AV2" s="109"/>
      <c r="AW2" s="109"/>
      <c r="AX2" s="32"/>
      <c r="AY2" s="32"/>
      <c r="AZ2" s="108" t="s">
        <v>48</v>
      </c>
      <c r="BA2" s="109"/>
      <c r="BB2" s="109"/>
      <c r="BC2" s="109"/>
      <c r="BD2" s="109"/>
      <c r="BE2" s="109"/>
      <c r="BF2" s="109"/>
      <c r="BG2" s="109"/>
    </row>
    <row r="3" spans="1:59" ht="44" thickBot="1" x14ac:dyDescent="0.4">
      <c r="A3" s="26"/>
      <c r="B3" s="33"/>
      <c r="C3" s="34"/>
      <c r="D3" s="35"/>
      <c r="E3" s="35"/>
      <c r="F3" s="34"/>
      <c r="G3" s="65"/>
      <c r="H3" s="34"/>
      <c r="I3" s="36"/>
      <c r="J3" s="37" t="s">
        <v>2</v>
      </c>
      <c r="K3" s="37" t="s">
        <v>49</v>
      </c>
      <c r="L3" s="38" t="s">
        <v>9</v>
      </c>
      <c r="M3" s="39" t="s">
        <v>10</v>
      </c>
      <c r="N3" s="38" t="s">
        <v>50</v>
      </c>
      <c r="O3" s="39" t="s">
        <v>1</v>
      </c>
      <c r="P3" s="39" t="s">
        <v>642</v>
      </c>
      <c r="Q3" s="39" t="s">
        <v>51</v>
      </c>
      <c r="R3" s="39" t="s">
        <v>8</v>
      </c>
      <c r="S3" s="40" t="s">
        <v>52</v>
      </c>
      <c r="T3" s="37" t="s">
        <v>2</v>
      </c>
      <c r="U3" s="37" t="s">
        <v>49</v>
      </c>
      <c r="V3" s="38" t="s">
        <v>9</v>
      </c>
      <c r="W3" s="38" t="s">
        <v>10</v>
      </c>
      <c r="X3" s="39" t="s">
        <v>50</v>
      </c>
      <c r="Y3" s="39" t="s">
        <v>1</v>
      </c>
      <c r="Z3" s="39" t="s">
        <v>660</v>
      </c>
      <c r="AA3" s="39" t="s">
        <v>51</v>
      </c>
      <c r="AB3" s="39" t="s">
        <v>8</v>
      </c>
      <c r="AC3" s="40" t="s">
        <v>52</v>
      </c>
      <c r="AD3" s="37" t="s">
        <v>2</v>
      </c>
      <c r="AE3" s="37" t="s">
        <v>49</v>
      </c>
      <c r="AF3" s="38" t="s">
        <v>9</v>
      </c>
      <c r="AG3" s="38" t="s">
        <v>10</v>
      </c>
      <c r="AH3" s="38" t="s">
        <v>54</v>
      </c>
      <c r="AI3" s="39" t="s">
        <v>55</v>
      </c>
      <c r="AJ3" s="39" t="s">
        <v>1</v>
      </c>
      <c r="AK3" s="39" t="s">
        <v>642</v>
      </c>
      <c r="AL3" s="39" t="s">
        <v>51</v>
      </c>
      <c r="AM3" s="39" t="s">
        <v>8</v>
      </c>
      <c r="AN3" s="40" t="s">
        <v>52</v>
      </c>
      <c r="AO3" s="13" t="s">
        <v>46</v>
      </c>
      <c r="AP3" s="41" t="s">
        <v>53</v>
      </c>
      <c r="AQ3" s="42" t="s">
        <v>56</v>
      </c>
      <c r="AR3" s="42" t="s">
        <v>57</v>
      </c>
      <c r="AS3" s="43" t="s">
        <v>58</v>
      </c>
      <c r="AT3" s="43" t="s">
        <v>59</v>
      </c>
      <c r="AU3" s="44" t="s">
        <v>60</v>
      </c>
      <c r="AV3" s="45" t="s">
        <v>61</v>
      </c>
      <c r="AW3" s="46" t="s">
        <v>52</v>
      </c>
      <c r="AX3" s="46" t="s">
        <v>62</v>
      </c>
      <c r="AY3" s="46" t="s">
        <v>63</v>
      </c>
      <c r="AZ3" s="41" t="s">
        <v>53</v>
      </c>
      <c r="BA3" s="42" t="s">
        <v>56</v>
      </c>
      <c r="BB3" s="42" t="s">
        <v>57</v>
      </c>
      <c r="BC3" s="43" t="s">
        <v>58</v>
      </c>
      <c r="BD3" s="43" t="s">
        <v>59</v>
      </c>
      <c r="BE3" s="44" t="s">
        <v>60</v>
      </c>
      <c r="BF3" s="45" t="s">
        <v>61</v>
      </c>
      <c r="BG3" s="46" t="s">
        <v>52</v>
      </c>
    </row>
    <row r="4" spans="1:59" ht="15" thickBot="1" x14ac:dyDescent="0.4">
      <c r="A4" s="47">
        <v>28</v>
      </c>
      <c r="B4" s="48"/>
      <c r="C4" s="49" t="s">
        <v>93</v>
      </c>
      <c r="D4" s="58" t="s">
        <v>492</v>
      </c>
      <c r="E4" s="14" t="s">
        <v>94</v>
      </c>
      <c r="F4" s="14" t="s">
        <v>95</v>
      </c>
      <c r="G4" s="49" t="s">
        <v>81</v>
      </c>
      <c r="H4" s="50" t="s">
        <v>22</v>
      </c>
      <c r="I4" s="51"/>
      <c r="J4" s="6">
        <v>3411</v>
      </c>
      <c r="K4" s="6">
        <f>COUNTIF(review1_code,J4)</f>
        <v>3</v>
      </c>
      <c r="L4" s="4" t="str">
        <f>VLOOKUP(J4,review1,10,FALSE)</f>
        <v>TriPT9</v>
      </c>
      <c r="M4" s="4" t="str">
        <f>VLOOKUP(J4,review1,11,FALSE)</f>
        <v>VuLNS</v>
      </c>
      <c r="N4" s="47" t="b">
        <f>OR(EXACT(L4,H4),EXACT(L4,I4),EXACT(M4,H4),EXACT(M4,I4))</f>
        <v>0</v>
      </c>
      <c r="O4" s="52">
        <f>VLOOKUP(J4,review1,7,FALSE)</f>
        <v>46044</v>
      </c>
      <c r="P4" s="52" t="str">
        <f>VLOOKUP(J4,review1,8,FALSE)</f>
        <v>Thu</v>
      </c>
      <c r="Q4" s="47">
        <f>INT(MOD(J4/10,10))</f>
        <v>1</v>
      </c>
      <c r="R4" s="47" t="str">
        <f>VLOOKUP(J4,review1,9,FALSE)</f>
        <v>NVH G.02</v>
      </c>
      <c r="S4" s="47">
        <f>J4+4000</f>
        <v>7411</v>
      </c>
      <c r="T4" s="6">
        <v>7411</v>
      </c>
      <c r="U4" s="6">
        <f>COUNTIF(review2_code,T4)</f>
        <v>3</v>
      </c>
      <c r="V4" s="4" t="str">
        <f>VLOOKUP(T4,review2,10,FALSE)</f>
        <v>TriPT9</v>
      </c>
      <c r="W4" s="4" t="str">
        <f>VLOOKUP(T4,review2,11,FALSE)</f>
        <v>VuLNS</v>
      </c>
      <c r="X4" s="4" t="b">
        <f>OR(EXACT(V4,H4),EXACT(V4,I4),EXACT(W4,H4),EXACT(W4,I4))</f>
        <v>0</v>
      </c>
      <c r="Y4" s="53">
        <f>VLOOKUP(T4,review2,7,FALSE)</f>
        <v>46085</v>
      </c>
      <c r="Z4" s="53" t="str">
        <f>VLOOKUP(T4,review2,8,FALSE)</f>
        <v>Wed</v>
      </c>
      <c r="AA4" s="47">
        <f>INT(MOD(T4/10,10))</f>
        <v>1</v>
      </c>
      <c r="AB4" s="47" t="e">
        <f>VLOOKUP(J4,review2,9,FALSE)</f>
        <v>#N/A</v>
      </c>
      <c r="AC4" s="47"/>
      <c r="AD4" s="6">
        <v>14451</v>
      </c>
      <c r="AE4" s="6">
        <f>COUNTIF(review3_code,AD4)</f>
        <v>3</v>
      </c>
      <c r="AF4" s="54" t="str">
        <f>VLOOKUP(AD4,review3,10,FALSE)</f>
        <v>NhanDT35</v>
      </c>
      <c r="AG4" s="54" t="str">
        <f>VLOOKUP(AD4,review3,11,FALSE)</f>
        <v>PhuongLHK</v>
      </c>
      <c r="AH4" s="47" t="b">
        <f>OR(EXACT(AF4,H4),EXACT(AF4,I4),EXACT(AG4,H4),EXACT(AG4,I4))</f>
        <v>0</v>
      </c>
      <c r="AI4" s="47" t="b">
        <f>OR(EXACT(AF4,V4),EXACT(AF4,W4),EXACT(AG4,V4),EXACT(AG4,W4))</f>
        <v>0</v>
      </c>
      <c r="AJ4" s="53">
        <f>VLOOKUP(AD4,review3,7,FALSE)</f>
        <v>46134</v>
      </c>
      <c r="AK4" s="53" t="str">
        <f>VLOOKUP(AD4,review3,8,FALSE)</f>
        <v>Wed</v>
      </c>
      <c r="AL4" s="47">
        <f>VLOOKUP(AD4,review3,4,FALSE)</f>
        <v>5</v>
      </c>
      <c r="AM4" s="47" t="str">
        <f>VLOOKUP(AD4,review3,9,FALSE)</f>
        <v>NVH.301</v>
      </c>
      <c r="AN4" s="55"/>
      <c r="AO4" t="s">
        <v>687</v>
      </c>
      <c r="AP4" s="56"/>
      <c r="AQ4" s="47" t="e">
        <f>VLOOKUP(AP4,defense1_list,7,FALSE)</f>
        <v>#N/A</v>
      </c>
      <c r="AR4" s="57">
        <f>COUNTIF(defense1_forgroup_code,AP4)</f>
        <v>0</v>
      </c>
      <c r="AS4" s="4" t="b">
        <f>ISNUMBER(SEARCH(H4,AQ4))</f>
        <v>0</v>
      </c>
      <c r="AT4" s="4" t="b">
        <f>AND(NOT(ISBLANK(I4)),(ISNUMBER(SEARCH(I4,AQ4))))</f>
        <v>0</v>
      </c>
      <c r="AU4" s="4"/>
      <c r="AV4" s="47"/>
      <c r="AW4" s="47" t="s">
        <v>687</v>
      </c>
      <c r="AX4" s="47"/>
      <c r="AY4" s="47"/>
      <c r="AZ4" s="127">
        <v>101</v>
      </c>
      <c r="BA4" s="47" t="str">
        <f>VLOOKUP(AZ4,defense2_list,7,FALSE)</f>
        <v>HuongNTC2_HungLD5_SangNM18_TamPM_LamNN15</v>
      </c>
      <c r="BB4" s="57">
        <f>COUNTIF(defense2_forgroup_code,AZ4)</f>
        <v>9</v>
      </c>
      <c r="BC4" s="4" t="b">
        <f>ISNUMBER(SEARCH(H4,BA4))</f>
        <v>0</v>
      </c>
      <c r="BD4" s="4" t="b">
        <f>AND(NOT(ISBLANK(I4)),(ISNUMBER(SEARCH(I4,AZ4))))</f>
        <v>0</v>
      </c>
      <c r="BE4" s="4"/>
      <c r="BF4" s="47"/>
      <c r="BG4" s="47"/>
    </row>
    <row r="5" spans="1:59" ht="15" thickBot="1" x14ac:dyDescent="0.4">
      <c r="A5" s="47">
        <v>65</v>
      </c>
      <c r="B5" s="48"/>
      <c r="C5" s="49" t="s">
        <v>540</v>
      </c>
      <c r="D5" s="58" t="s">
        <v>541</v>
      </c>
      <c r="E5" s="14" t="s">
        <v>542</v>
      </c>
      <c r="F5" s="14" t="s">
        <v>543</v>
      </c>
      <c r="G5" s="49" t="s">
        <v>73</v>
      </c>
      <c r="H5" s="50" t="s">
        <v>20</v>
      </c>
      <c r="I5" s="51"/>
      <c r="J5" s="6">
        <v>3543</v>
      </c>
      <c r="K5" s="6">
        <f>COUNTIF(review1_code,J5)</f>
        <v>3</v>
      </c>
      <c r="L5" s="4" t="str">
        <f>VLOOKUP(J5,review1,10,FALSE)</f>
        <v>TriPT9</v>
      </c>
      <c r="M5" s="4" t="str">
        <f>VLOOKUP(J5,review1,11,FALSE)</f>
        <v>LongT5</v>
      </c>
      <c r="N5" s="47" t="b">
        <f>OR(EXACT(L5,H5),EXACT(L5,I5),EXACT(M5,H5),EXACT(M5,I5))</f>
        <v>0</v>
      </c>
      <c r="O5" s="52">
        <f>VLOOKUP(J5,review1,7,FALSE)</f>
        <v>46045</v>
      </c>
      <c r="P5" s="52" t="str">
        <f>VLOOKUP(J5,review1,8,FALSE)</f>
        <v>Fri</v>
      </c>
      <c r="Q5" s="47">
        <f>INT(MOD(J5/10,10))</f>
        <v>4</v>
      </c>
      <c r="R5" s="47" t="str">
        <f>VLOOKUP(J5,review1,9,FALSE)</f>
        <v>NVH 420</v>
      </c>
      <c r="S5" s="47">
        <f>J5+4000</f>
        <v>7543</v>
      </c>
      <c r="T5" s="6">
        <v>7543</v>
      </c>
      <c r="U5" s="6">
        <f>COUNTIF(review2_code,T5)</f>
        <v>3</v>
      </c>
      <c r="V5" s="4" t="str">
        <f>VLOOKUP(T5,review2,10,FALSE)</f>
        <v>TriPT9</v>
      </c>
      <c r="W5" s="4" t="str">
        <f>VLOOKUP(T5,review2,11,FALSE)</f>
        <v>LongT5</v>
      </c>
      <c r="X5" s="4" t="b">
        <f>OR(EXACT(V5,H5),EXACT(V5,I5),EXACT(W5,H5),EXACT(W5,I5))</f>
        <v>0</v>
      </c>
      <c r="Y5" s="53">
        <f>VLOOKUP(T5,review2,7,FALSE)</f>
        <v>46086</v>
      </c>
      <c r="Z5" s="53" t="str">
        <f>VLOOKUP(T5,review2,8,FALSE)</f>
        <v>Thu</v>
      </c>
      <c r="AA5" s="47">
        <f>INT(MOD(T5/10,10))</f>
        <v>4</v>
      </c>
      <c r="AB5" s="47" t="e">
        <f>VLOOKUP(J5,review2,9,FALSE)</f>
        <v>#N/A</v>
      </c>
      <c r="AC5" s="47"/>
      <c r="AD5" s="6">
        <v>14651</v>
      </c>
      <c r="AE5" s="6">
        <f>COUNTIF(review3_code,AD5)</f>
        <v>3</v>
      </c>
      <c r="AF5" s="54" t="str">
        <f>VLOOKUP(AD5,review3,10,FALSE)</f>
        <v>PhuongLHK</v>
      </c>
      <c r="AG5" s="54" t="str">
        <f>VLOOKUP(AD5,review3,11,FALSE)</f>
        <v>NhanDT35</v>
      </c>
      <c r="AH5" s="47" t="b">
        <f>OR(EXACT(AF5,H5),EXACT(AF5,I5),EXACT(AG5,H5),EXACT(AG5,I5))</f>
        <v>0</v>
      </c>
      <c r="AI5" s="47" t="b">
        <f>OR(EXACT(AF5,V5),EXACT(AF5,W5),EXACT(AG5,V5),EXACT(AG5,W5))</f>
        <v>0</v>
      </c>
      <c r="AJ5" s="53">
        <f>VLOOKUP(AD5,review3,7,FALSE)</f>
        <v>46136</v>
      </c>
      <c r="AK5" s="53" t="str">
        <f>VLOOKUP(AD5,review3,8,FALSE)</f>
        <v>Fri</v>
      </c>
      <c r="AL5" s="47">
        <f>VLOOKUP(AD5,review3,4,FALSE)</f>
        <v>5</v>
      </c>
      <c r="AM5" s="47" t="str">
        <f>VLOOKUP(AD5,review3,9,FALSE)</f>
        <v>NVH.301</v>
      </c>
      <c r="AN5" s="55"/>
      <c r="AO5" t="s">
        <v>687</v>
      </c>
      <c r="AP5" s="56"/>
      <c r="AQ5" s="47" t="e">
        <f>VLOOKUP(AP5,defense1_list,7,FALSE)</f>
        <v>#N/A</v>
      </c>
      <c r="AR5" s="57">
        <f>COUNTIF(defense1_forgroup_code,AP5)</f>
        <v>0</v>
      </c>
      <c r="AS5" s="4" t="b">
        <f>ISNUMBER(SEARCH(H5,AQ5))</f>
        <v>0</v>
      </c>
      <c r="AT5" s="4" t="b">
        <f>AND(NOT(ISBLANK(I5)),(ISNUMBER(SEARCH(I5,AQ5))))</f>
        <v>0</v>
      </c>
      <c r="AU5" s="4"/>
      <c r="AV5" s="47"/>
      <c r="AW5" s="47" t="s">
        <v>687</v>
      </c>
      <c r="AX5" s="47"/>
      <c r="AY5" s="47"/>
      <c r="AZ5" s="127">
        <v>101</v>
      </c>
      <c r="BA5" s="47" t="str">
        <f>VLOOKUP(AZ5,defense2_list,7,FALSE)</f>
        <v>HuongNTC2_HungLD5_SangNM18_TamPM_LamNN15</v>
      </c>
      <c r="BB5" s="57">
        <f>COUNTIF(defense2_forgroup_code,AZ5)</f>
        <v>9</v>
      </c>
      <c r="BC5" s="4" t="b">
        <f>ISNUMBER(SEARCH(H5,BA5))</f>
        <v>0</v>
      </c>
      <c r="BD5" s="4" t="b">
        <f>AND(NOT(ISBLANK(I5)),(ISNUMBER(SEARCH(I5,AZ5))))</f>
        <v>0</v>
      </c>
      <c r="BE5" s="4"/>
      <c r="BF5" s="47"/>
      <c r="BG5" s="47"/>
    </row>
    <row r="6" spans="1:59" ht="15" thickBot="1" x14ac:dyDescent="0.4">
      <c r="A6" s="47">
        <v>45</v>
      </c>
      <c r="B6" s="48"/>
      <c r="C6" s="49" t="s">
        <v>245</v>
      </c>
      <c r="D6" s="58" t="s">
        <v>246</v>
      </c>
      <c r="E6" s="14" t="s">
        <v>247</v>
      </c>
      <c r="F6" s="14" t="s">
        <v>248</v>
      </c>
      <c r="G6" s="49" t="s">
        <v>73</v>
      </c>
      <c r="H6" s="50" t="s">
        <v>20</v>
      </c>
      <c r="I6" s="51"/>
      <c r="J6" s="6">
        <v>3641</v>
      </c>
      <c r="K6" s="6">
        <f>COUNTIF(review1_code,J6)</f>
        <v>3</v>
      </c>
      <c r="L6" s="4" t="str">
        <f>VLOOKUP(J6,review1,10,FALSE)</f>
        <v>NhanDT35</v>
      </c>
      <c r="M6" s="4" t="str">
        <f>VLOOKUP(J6,review1,11,FALSE)</f>
        <v>VuLNS</v>
      </c>
      <c r="N6" s="47" t="b">
        <f>OR(EXACT(L6,H6),EXACT(L6,I6),EXACT(M6,H6),EXACT(M6,I6))</f>
        <v>0</v>
      </c>
      <c r="O6" s="52">
        <f>VLOOKUP(J6,review1,7,FALSE)</f>
        <v>46046</v>
      </c>
      <c r="P6" s="52" t="str">
        <f>VLOOKUP(J6,review1,8,FALSE)</f>
        <v>Sat</v>
      </c>
      <c r="Q6" s="47">
        <f>INT(MOD(J6/10,10))</f>
        <v>4</v>
      </c>
      <c r="R6" s="47" t="str">
        <f>VLOOKUP(J6,review1,9,FALSE)</f>
        <v>NVH 420</v>
      </c>
      <c r="S6" s="47">
        <f>J6+4000</f>
        <v>7641</v>
      </c>
      <c r="T6" s="6">
        <v>7641</v>
      </c>
      <c r="U6" s="6">
        <f>COUNTIF(review2_code,T6)</f>
        <v>3</v>
      </c>
      <c r="V6" s="4" t="str">
        <f>VLOOKUP(T6,review2,10,FALSE)</f>
        <v>NhanDT35</v>
      </c>
      <c r="W6" s="4" t="str">
        <f>VLOOKUP(T6,review2,11,FALSE)</f>
        <v>VuLNS</v>
      </c>
      <c r="X6" s="4" t="b">
        <f>OR(EXACT(V6,H6),EXACT(V6,I6),EXACT(W6,H6),EXACT(W6,I6))</f>
        <v>0</v>
      </c>
      <c r="Y6" s="53">
        <f>VLOOKUP(T6,review2,7,FALSE)</f>
        <v>46087</v>
      </c>
      <c r="Z6" s="53" t="str">
        <f>VLOOKUP(T6,review2,8,FALSE)</f>
        <v>Fri</v>
      </c>
      <c r="AA6" s="47">
        <f>INT(MOD(T6/10,10))</f>
        <v>4</v>
      </c>
      <c r="AB6" s="47" t="e">
        <f>VLOOKUP(J6,review2,9,FALSE)</f>
        <v>#N/A</v>
      </c>
      <c r="AC6" s="47"/>
      <c r="AD6" s="6">
        <v>14541</v>
      </c>
      <c r="AE6" s="6">
        <f>COUNTIF(review3_code,AD6)</f>
        <v>3</v>
      </c>
      <c r="AF6" s="54" t="str">
        <f>VLOOKUP(AD6,review3,10,FALSE)</f>
        <v>DucDNM2</v>
      </c>
      <c r="AG6" s="54" t="str">
        <f>VLOOKUP(AD6,review3,11,FALSE)</f>
        <v>LamNN15</v>
      </c>
      <c r="AH6" s="47" t="b">
        <f>OR(EXACT(AF6,H6),EXACT(AF6,I6),EXACT(AG6,H6),EXACT(AG6,I6))</f>
        <v>0</v>
      </c>
      <c r="AI6" s="47" t="b">
        <f>OR(EXACT(AF6,V6),EXACT(AF6,W6),EXACT(AG6,V6),EXACT(AG6,W6))</f>
        <v>0</v>
      </c>
      <c r="AJ6" s="53">
        <f>VLOOKUP(AD6,review3,7,FALSE)</f>
        <v>46135</v>
      </c>
      <c r="AK6" s="53" t="str">
        <f>VLOOKUP(AD6,review3,8,FALSE)</f>
        <v>Thu</v>
      </c>
      <c r="AL6" s="47">
        <f>VLOOKUP(AD6,review3,4,FALSE)</f>
        <v>4</v>
      </c>
      <c r="AM6" s="47" t="str">
        <f>VLOOKUP(AD6,review3,9,FALSE)</f>
        <v>NVH.306</v>
      </c>
      <c r="AN6" s="55"/>
      <c r="AO6" t="s">
        <v>687</v>
      </c>
      <c r="AP6" s="122"/>
      <c r="AQ6" s="47" t="e">
        <f>VLOOKUP(AP6,defense1_list,7,FALSE)</f>
        <v>#N/A</v>
      </c>
      <c r="AR6" s="57">
        <f>COUNTIF(defense1_forgroup_code,AP6)</f>
        <v>0</v>
      </c>
      <c r="AS6" s="4" t="b">
        <f>ISNUMBER(SEARCH(H6,AQ6))</f>
        <v>0</v>
      </c>
      <c r="AT6" s="4" t="b">
        <f>AND(NOT(ISBLANK(I6)),(ISNUMBER(SEARCH(I6,AQ6))))</f>
        <v>0</v>
      </c>
      <c r="AU6" s="4"/>
      <c r="AV6" s="47"/>
      <c r="AW6" s="47" t="s">
        <v>687</v>
      </c>
      <c r="AX6" s="47"/>
      <c r="AY6" s="47"/>
      <c r="AZ6" s="127">
        <v>101</v>
      </c>
      <c r="BA6" s="47" t="str">
        <f>VLOOKUP(AZ6,defense2_list,7,FALSE)</f>
        <v>HuongNTC2_HungLD5_SangNM18_TamPM_LamNN15</v>
      </c>
      <c r="BB6" s="57">
        <f>COUNTIF(defense2_forgroup_code,AZ6)</f>
        <v>9</v>
      </c>
      <c r="BC6" s="4" t="b">
        <f>ISNUMBER(SEARCH(H6,BA6))</f>
        <v>0</v>
      </c>
      <c r="BD6" s="4" t="b">
        <f>AND(NOT(ISBLANK(I6)),(ISNUMBER(SEARCH(I6,AZ6))))</f>
        <v>0</v>
      </c>
      <c r="BE6" s="4"/>
      <c r="BF6" s="47"/>
      <c r="BG6" s="47"/>
    </row>
    <row r="7" spans="1:59" ht="17" customHeight="1" thickBot="1" x14ac:dyDescent="0.4">
      <c r="A7" s="47">
        <v>41</v>
      </c>
      <c r="B7" s="48"/>
      <c r="C7" s="49" t="s">
        <v>297</v>
      </c>
      <c r="D7" s="58" t="s">
        <v>298</v>
      </c>
      <c r="E7" s="14" t="s">
        <v>299</v>
      </c>
      <c r="F7" s="14" t="s">
        <v>300</v>
      </c>
      <c r="G7" s="49" t="s">
        <v>81</v>
      </c>
      <c r="H7" s="50" t="s">
        <v>22</v>
      </c>
      <c r="I7" s="51"/>
      <c r="J7" s="6">
        <v>4243</v>
      </c>
      <c r="K7" s="6">
        <f>COUNTIF(review1_code,J7)</f>
        <v>3</v>
      </c>
      <c r="L7" s="4" t="str">
        <f>VLOOKUP(J7,review1,10,FALSE)</f>
        <v>TaiNT51</v>
      </c>
      <c r="M7" s="4" t="str">
        <f>VLOOKUP(J7,review1,11,FALSE)</f>
        <v>LongT5</v>
      </c>
      <c r="N7" s="47" t="b">
        <f>OR(EXACT(L7,H7),EXACT(L7,I7),EXACT(M7,H7),EXACT(M7,I7))</f>
        <v>0</v>
      </c>
      <c r="O7" s="52">
        <f>VLOOKUP(J7,review1,7,FALSE)</f>
        <v>46049</v>
      </c>
      <c r="P7" s="52" t="str">
        <f>VLOOKUP(J7,review1,8,FALSE)</f>
        <v>Tue</v>
      </c>
      <c r="Q7" s="47">
        <f>INT(MOD(J7/10,10))</f>
        <v>4</v>
      </c>
      <c r="R7" s="47" t="str">
        <f>VLOOKUP(J7,review1,9,FALSE)</f>
        <v>NVH G.02</v>
      </c>
      <c r="S7" s="47">
        <f>J7+4000</f>
        <v>8243</v>
      </c>
      <c r="T7" s="6">
        <v>8243</v>
      </c>
      <c r="U7" s="6">
        <f>COUNTIF(review2_code,T7)</f>
        <v>3</v>
      </c>
      <c r="V7" s="4" t="str">
        <f>VLOOKUP(T7,review2,10,FALSE)</f>
        <v>TaiNT51</v>
      </c>
      <c r="W7" s="4" t="str">
        <f>VLOOKUP(T7,review2,11,FALSE)</f>
        <v>LongT5</v>
      </c>
      <c r="X7" s="4" t="b">
        <f>OR(EXACT(V7,H7),EXACT(V7,I7),EXACT(W7,H7),EXACT(W7,I7))</f>
        <v>0</v>
      </c>
      <c r="Y7" s="53">
        <f>VLOOKUP(T7,review2,7,FALSE)</f>
        <v>46090</v>
      </c>
      <c r="Z7" s="53" t="str">
        <f>VLOOKUP(T7,review2,8,FALSE)</f>
        <v>Mon</v>
      </c>
      <c r="AA7" s="47">
        <f>INT(MOD(T7/10,10))</f>
        <v>4</v>
      </c>
      <c r="AB7" s="47" t="e">
        <f>VLOOKUP(J7,review2,9,FALSE)</f>
        <v>#N/A</v>
      </c>
      <c r="AC7" s="47"/>
      <c r="AD7" s="6">
        <v>14621</v>
      </c>
      <c r="AE7" s="6">
        <f>COUNTIF(review3_code,AD7)</f>
        <v>3</v>
      </c>
      <c r="AF7" s="54" t="str">
        <f>VLOOKUP(AD7,review3,10,FALSE)</f>
        <v>HuongNTC2</v>
      </c>
      <c r="AG7" s="54" t="str">
        <f>VLOOKUP(AD7,review3,11,FALSE)</f>
        <v>VanTTN2</v>
      </c>
      <c r="AH7" s="47" t="b">
        <f>OR(EXACT(AF7,H7),EXACT(AF7,I7),EXACT(AG7,H7),EXACT(AG7,I7))</f>
        <v>0</v>
      </c>
      <c r="AI7" s="47" t="b">
        <f>OR(EXACT(AF7,V7),EXACT(AF7,W7),EXACT(AG7,V7),EXACT(AG7,W7))</f>
        <v>0</v>
      </c>
      <c r="AJ7" s="53">
        <f>VLOOKUP(AD7,review3,7,FALSE)</f>
        <v>46136</v>
      </c>
      <c r="AK7" s="53" t="str">
        <f>VLOOKUP(AD7,review3,8,FALSE)</f>
        <v>Fri</v>
      </c>
      <c r="AL7" s="47">
        <f>VLOOKUP(AD7,review3,4,FALSE)</f>
        <v>2</v>
      </c>
      <c r="AM7" s="47" t="str">
        <f>VLOOKUP(AD7,review3,9,FALSE)</f>
        <v>NVH.414</v>
      </c>
      <c r="AN7" s="55"/>
      <c r="AO7" t="s">
        <v>687</v>
      </c>
      <c r="AP7" s="122"/>
      <c r="AQ7" s="47" t="e">
        <f>VLOOKUP(AP7,defense1_list,7,FALSE)</f>
        <v>#N/A</v>
      </c>
      <c r="AR7" s="57">
        <f>COUNTIF(defense1_forgroup_code,AP7)</f>
        <v>0</v>
      </c>
      <c r="AS7" s="4" t="b">
        <f>ISNUMBER(SEARCH(H7,AQ7))</f>
        <v>0</v>
      </c>
      <c r="AT7" s="4" t="b">
        <f>AND(NOT(ISBLANK(I7)),(ISNUMBER(SEARCH(I7,AQ7))))</f>
        <v>0</v>
      </c>
      <c r="AU7" s="4"/>
      <c r="AV7" s="47"/>
      <c r="AW7" s="47" t="s">
        <v>687</v>
      </c>
      <c r="AX7" s="47"/>
      <c r="AY7" s="47"/>
      <c r="AZ7" s="127">
        <v>101</v>
      </c>
      <c r="BA7" s="47" t="str">
        <f>VLOOKUP(AZ7,defense2_list,7,FALSE)</f>
        <v>HuongNTC2_HungLD5_SangNM18_TamPM_LamNN15</v>
      </c>
      <c r="BB7" s="57">
        <f>COUNTIF(defense2_forgroup_code,AZ7)</f>
        <v>9</v>
      </c>
      <c r="BC7" s="4" t="b">
        <f>ISNUMBER(SEARCH(H7,BA7))</f>
        <v>0</v>
      </c>
      <c r="BD7" s="4" t="b">
        <f>AND(NOT(ISBLANK(I7)),(ISNUMBER(SEARCH(I7,AZ7))))</f>
        <v>0</v>
      </c>
      <c r="BE7" s="4"/>
      <c r="BF7" s="47"/>
      <c r="BG7" s="47"/>
    </row>
    <row r="8" spans="1:59" ht="15" thickBot="1" x14ac:dyDescent="0.4">
      <c r="A8" s="47">
        <v>85</v>
      </c>
      <c r="B8" s="48"/>
      <c r="C8" s="49" t="s">
        <v>444</v>
      </c>
      <c r="D8" s="58" t="s">
        <v>445</v>
      </c>
      <c r="E8" s="14" t="s">
        <v>446</v>
      </c>
      <c r="F8" s="14" t="s">
        <v>447</v>
      </c>
      <c r="G8" s="49" t="s">
        <v>623</v>
      </c>
      <c r="H8" s="50" t="s">
        <v>14</v>
      </c>
      <c r="I8" s="51" t="s">
        <v>77</v>
      </c>
      <c r="J8" s="6">
        <v>3442</v>
      </c>
      <c r="K8" s="6">
        <f>COUNTIF(review1_code,J8)</f>
        <v>3</v>
      </c>
      <c r="L8" s="4" t="str">
        <f>VLOOKUP(J8,review1,10,FALSE)</f>
        <v>TaiNT51</v>
      </c>
      <c r="M8" s="4" t="str">
        <f>VLOOKUP(J8,review1,11,FALSE)</f>
        <v>NhanDT35</v>
      </c>
      <c r="N8" s="47" t="b">
        <f>OR(EXACT(L8,H8),EXACT(L8,I8),EXACT(M8,H8),EXACT(M8,I8))</f>
        <v>0</v>
      </c>
      <c r="O8" s="52">
        <f>VLOOKUP(J8,review1,7,FALSE)</f>
        <v>46044</v>
      </c>
      <c r="P8" s="52" t="str">
        <f>VLOOKUP(J8,review1,8,FALSE)</f>
        <v>Thu</v>
      </c>
      <c r="Q8" s="47">
        <f>INT(MOD(J8/10,10))</f>
        <v>4</v>
      </c>
      <c r="R8" s="47" t="str">
        <f>VLOOKUP(J8,review1,9,FALSE)</f>
        <v>NVH G.01</v>
      </c>
      <c r="S8" s="47">
        <f>J8+4000</f>
        <v>7442</v>
      </c>
      <c r="T8" s="6">
        <v>7442</v>
      </c>
      <c r="U8" s="6">
        <f>COUNTIF(review2_code,T8)</f>
        <v>3</v>
      </c>
      <c r="V8" s="4" t="str">
        <f>VLOOKUP(T8,review2,10,FALSE)</f>
        <v>TaiNT51</v>
      </c>
      <c r="W8" s="4" t="str">
        <f>VLOOKUP(T8,review2,11,FALSE)</f>
        <v>NhanDT35</v>
      </c>
      <c r="X8" s="4" t="b">
        <f>OR(EXACT(V8,H8),EXACT(V8,I8),EXACT(W8,H8),EXACT(W8,I8))</f>
        <v>0</v>
      </c>
      <c r="Y8" s="53">
        <f>VLOOKUP(T8,review2,7,FALSE)</f>
        <v>46085</v>
      </c>
      <c r="Z8" s="53" t="str">
        <f>VLOOKUP(T8,review2,8,FALSE)</f>
        <v>Wed</v>
      </c>
      <c r="AA8" s="47">
        <f>INT(MOD(T8/10,10))</f>
        <v>4</v>
      </c>
      <c r="AB8" s="47" t="e">
        <f>VLOOKUP(J8,review2,9,FALSE)</f>
        <v>#N/A</v>
      </c>
      <c r="AC8" s="47"/>
      <c r="AD8" s="6">
        <v>14212</v>
      </c>
      <c r="AE8" s="6">
        <f>COUNTIF(review3_code,AD8)</f>
        <v>3</v>
      </c>
      <c r="AF8" s="54" t="str">
        <f>VLOOKUP(AD8,review3,10,FALSE)</f>
        <v>HuongNTC2</v>
      </c>
      <c r="AG8" s="54" t="str">
        <f>VLOOKUP(AD8,review3,11,FALSE)</f>
        <v>VanTTN2</v>
      </c>
      <c r="AH8" s="47" t="b">
        <f>OR(EXACT(AF8,H8),EXACT(AF8,I8),EXACT(AG8,H8),EXACT(AG8,I8))</f>
        <v>0</v>
      </c>
      <c r="AI8" s="47" t="b">
        <f>OR(EXACT(AF8,V8),EXACT(AF8,W8),EXACT(AG8,V8),EXACT(AG8,W8))</f>
        <v>0</v>
      </c>
      <c r="AJ8" s="53">
        <f>VLOOKUP(AD8,review3,7,FALSE)</f>
        <v>46132</v>
      </c>
      <c r="AK8" s="53" t="str">
        <f>VLOOKUP(AD8,review3,8,FALSE)</f>
        <v>Mon</v>
      </c>
      <c r="AL8" s="47">
        <f>VLOOKUP(AD8,review3,4,FALSE)</f>
        <v>1</v>
      </c>
      <c r="AM8" s="47" t="str">
        <f>VLOOKUP(AD8,review3,9,FALSE)</f>
        <v>NVH.414</v>
      </c>
      <c r="AN8" s="55"/>
      <c r="AO8" t="s">
        <v>687</v>
      </c>
      <c r="AP8" s="122"/>
      <c r="AQ8" s="47" t="e">
        <f>VLOOKUP(AP8,defense1_list,7,FALSE)</f>
        <v>#N/A</v>
      </c>
      <c r="AR8" s="57">
        <f>COUNTIF(defense1_forgroup_code,AP8)</f>
        <v>0</v>
      </c>
      <c r="AS8" s="4" t="b">
        <f>ISNUMBER(SEARCH(H8,AQ8))</f>
        <v>0</v>
      </c>
      <c r="AT8" s="4" t="b">
        <f>AND(NOT(ISBLANK(I8)),(ISNUMBER(SEARCH(I8,AQ8))))</f>
        <v>0</v>
      </c>
      <c r="AU8" s="4"/>
      <c r="AV8" s="47"/>
      <c r="AW8" s="47" t="s">
        <v>687</v>
      </c>
      <c r="AX8" s="47"/>
      <c r="AY8" s="47"/>
      <c r="AZ8" s="127">
        <v>101</v>
      </c>
      <c r="BA8" s="47" t="str">
        <f>VLOOKUP(AZ8,defense2_list,7,FALSE)</f>
        <v>HuongNTC2_HungLD5_SangNM18_TamPM_LamNN15</v>
      </c>
      <c r="BB8" s="57">
        <f>COUNTIF(defense2_forgroup_code,AZ8)</f>
        <v>9</v>
      </c>
      <c r="BC8" s="4" t="b">
        <f>ISNUMBER(SEARCH(H8,BA8))</f>
        <v>0</v>
      </c>
      <c r="BD8" s="4" t="b">
        <f>AND(NOT(ISBLANK(I8)),(ISNUMBER(SEARCH(I8,AZ8))))</f>
        <v>0</v>
      </c>
      <c r="BE8" s="4"/>
      <c r="BF8" s="47"/>
      <c r="BG8" s="47"/>
    </row>
    <row r="9" spans="1:59" ht="29.5" thickBot="1" x14ac:dyDescent="0.4">
      <c r="A9" s="47">
        <v>32</v>
      </c>
      <c r="B9" s="48"/>
      <c r="C9" s="49" t="s">
        <v>384</v>
      </c>
      <c r="D9" s="58" t="s">
        <v>385</v>
      </c>
      <c r="E9" s="14" t="s">
        <v>386</v>
      </c>
      <c r="F9" s="14" t="s">
        <v>387</v>
      </c>
      <c r="G9" s="49" t="s">
        <v>91</v>
      </c>
      <c r="H9" s="50" t="s">
        <v>25</v>
      </c>
      <c r="I9" s="51"/>
      <c r="J9" s="6">
        <v>3552</v>
      </c>
      <c r="K9" s="6">
        <f>COUNTIF(review1_code,J9)</f>
        <v>3</v>
      </c>
      <c r="L9" s="4" t="str">
        <f>VLOOKUP(J9,review1,10,FALSE)</f>
        <v>TaiNT51</v>
      </c>
      <c r="M9" s="4" t="str">
        <f>VLOOKUP(J9,review1,11,FALSE)</f>
        <v>MinhTTH5</v>
      </c>
      <c r="N9" s="47" t="b">
        <f>OR(EXACT(L9,H9),EXACT(L9,I9),EXACT(M9,H9),EXACT(M9,I9))</f>
        <v>0</v>
      </c>
      <c r="O9" s="52">
        <f>VLOOKUP(J9,review1,7,FALSE)</f>
        <v>46045</v>
      </c>
      <c r="P9" s="52" t="str">
        <f>VLOOKUP(J9,review1,8,FALSE)</f>
        <v>Fri</v>
      </c>
      <c r="Q9" s="47">
        <f>INT(MOD(J9/10,10))</f>
        <v>5</v>
      </c>
      <c r="R9" s="47" t="str">
        <f>VLOOKUP(J9,review1,9,FALSE)</f>
        <v>NVH 420</v>
      </c>
      <c r="S9" s="47">
        <f>J9+4000</f>
        <v>7552</v>
      </c>
      <c r="T9" s="6">
        <v>7552</v>
      </c>
      <c r="U9" s="6">
        <f>COUNTIF(review2_code,T9)</f>
        <v>3</v>
      </c>
      <c r="V9" s="4" t="str">
        <f>VLOOKUP(T9,review2,10,FALSE)</f>
        <v>TaiNT51</v>
      </c>
      <c r="W9" s="4" t="str">
        <f>VLOOKUP(T9,review2,11,FALSE)</f>
        <v>MinhTTH5</v>
      </c>
      <c r="X9" s="4" t="b">
        <f>OR(EXACT(V9,H9),EXACT(V9,I9),EXACT(W9,H9),EXACT(W9,I9))</f>
        <v>0</v>
      </c>
      <c r="Y9" s="53">
        <f>VLOOKUP(T9,review2,7,FALSE)</f>
        <v>46086</v>
      </c>
      <c r="Z9" s="53" t="str">
        <f>VLOOKUP(T9,review2,8,FALSE)</f>
        <v>Thu</v>
      </c>
      <c r="AA9" s="47">
        <f>INT(MOD(T9/10,10))</f>
        <v>5</v>
      </c>
      <c r="AB9" s="47" t="e">
        <f>VLOOKUP(J9,review2,9,FALSE)</f>
        <v>#N/A</v>
      </c>
      <c r="AC9" s="47"/>
      <c r="AD9" s="6">
        <v>14242</v>
      </c>
      <c r="AE9" s="6">
        <f>COUNTIF(review3_code,AD9)</f>
        <v>3</v>
      </c>
      <c r="AF9" s="54" t="str">
        <f>VLOOKUP(AD9,review3,10,FALSE)</f>
        <v>HuongNTC2</v>
      </c>
      <c r="AG9" s="54" t="str">
        <f>VLOOKUP(AD9,review3,11,FALSE)</f>
        <v>SangNM18</v>
      </c>
      <c r="AH9" s="47" t="b">
        <f>OR(EXACT(AF9,H9),EXACT(AF9,I9),EXACT(AG9,H9),EXACT(AG9,I9))</f>
        <v>0</v>
      </c>
      <c r="AI9" s="47" t="b">
        <f>OR(EXACT(AF9,V9),EXACT(AF9,W9),EXACT(AG9,V9),EXACT(AG9,W9))</f>
        <v>0</v>
      </c>
      <c r="AJ9" s="53">
        <f>VLOOKUP(AD9,review3,7,FALSE)</f>
        <v>46132</v>
      </c>
      <c r="AK9" s="53" t="str">
        <f>VLOOKUP(AD9,review3,8,FALSE)</f>
        <v>Mon</v>
      </c>
      <c r="AL9" s="47">
        <f>VLOOKUP(AD9,review3,4,FALSE)</f>
        <v>4</v>
      </c>
      <c r="AM9" s="47" t="str">
        <f>VLOOKUP(AD9,review3,9,FALSE)</f>
        <v>NVH.414</v>
      </c>
      <c r="AN9" s="55"/>
      <c r="AO9" t="s">
        <v>688</v>
      </c>
      <c r="AP9" s="56">
        <v>101</v>
      </c>
      <c r="AQ9" s="47" t="str">
        <f>VLOOKUP(AP9,defense1_list,7,FALSE)</f>
        <v>HuongNTC2_HungLD5_SangNM18_VanTTN2_AnNDH2</v>
      </c>
      <c r="AR9" s="57">
        <f>COUNTIF(defense1_forgroup_code,AP9)</f>
        <v>8</v>
      </c>
      <c r="AS9" s="4" t="b">
        <f>ISNUMBER(SEARCH(H9,AQ9))</f>
        <v>0</v>
      </c>
      <c r="AT9" s="4" t="b">
        <f>AND(NOT(ISBLANK(I9)),(ISNUMBER(SEARCH(I9,AQ9))))</f>
        <v>0</v>
      </c>
      <c r="AU9" s="4" t="b">
        <f>(IFERROR(SEARCH(AF9,AQ9),0)+IFERROR(SEARCH(AG9,AQ9),0))&gt;0</f>
        <v>1</v>
      </c>
      <c r="AV9" s="47"/>
      <c r="AW9" s="47" t="s">
        <v>689</v>
      </c>
      <c r="AX9" s="47"/>
      <c r="AY9" s="47"/>
      <c r="AZ9" s="127">
        <v>101</v>
      </c>
      <c r="BA9" s="47" t="str">
        <f>VLOOKUP(AZ9,defense2_list,7,FALSE)</f>
        <v>HuongNTC2_HungLD5_SangNM18_TamPM_LamNN15</v>
      </c>
      <c r="BB9" s="57">
        <f>COUNTIF(defense2_forgroup_code,AZ9)</f>
        <v>9</v>
      </c>
      <c r="BC9" s="4" t="b">
        <f>ISNUMBER(SEARCH(H9,BA9))</f>
        <v>0</v>
      </c>
      <c r="BD9" s="4" t="b">
        <f>AND(NOT(ISBLANK(I9)),(ISNUMBER(SEARCH(I9,AZ9))))</f>
        <v>0</v>
      </c>
      <c r="BE9" s="4"/>
      <c r="BF9" s="47"/>
      <c r="BG9" s="47"/>
    </row>
    <row r="10" spans="1:59" ht="29.5" thickBot="1" x14ac:dyDescent="0.4">
      <c r="A10" s="47">
        <v>60</v>
      </c>
      <c r="B10" s="48"/>
      <c r="C10" s="49" t="s">
        <v>594</v>
      </c>
      <c r="D10" s="58" t="s">
        <v>595</v>
      </c>
      <c r="E10" s="14" t="s">
        <v>596</v>
      </c>
      <c r="F10" s="14" t="s">
        <v>597</v>
      </c>
      <c r="G10" s="49" t="s">
        <v>598</v>
      </c>
      <c r="H10" s="50" t="s">
        <v>644</v>
      </c>
      <c r="I10" s="51"/>
      <c r="J10" s="6">
        <v>4431</v>
      </c>
      <c r="K10" s="6">
        <f>COUNTIF(review1_code,J10)</f>
        <v>3</v>
      </c>
      <c r="L10" s="74" t="str">
        <f>VLOOKUP(J10,review1,10,FALSE)</f>
        <v>DucDNM2</v>
      </c>
      <c r="M10" s="74" t="str">
        <f>VLOOKUP(J10,review1,11,FALSE)</f>
        <v>VanTTN2</v>
      </c>
      <c r="N10" s="47" t="b">
        <f>OR(EXACT(L10,H10),EXACT(L10,I10),EXACT(M10,H10),EXACT(M10,I10))</f>
        <v>0</v>
      </c>
      <c r="O10" s="52">
        <f>VLOOKUP(J10,review1,7,FALSE)</f>
        <v>46051</v>
      </c>
      <c r="P10" s="52" t="str">
        <f>VLOOKUP(J10,review1,8,FALSE)</f>
        <v>Thu</v>
      </c>
      <c r="Q10" s="47">
        <f>INT(MOD(J10/10,10))</f>
        <v>3</v>
      </c>
      <c r="R10" s="47" t="str">
        <f>VLOOKUP(J10,review1,9,FALSE)</f>
        <v>LB21 (Thư viên Campus)</v>
      </c>
      <c r="S10" s="47">
        <f>J10+4000</f>
        <v>8431</v>
      </c>
      <c r="T10" s="6">
        <v>8431</v>
      </c>
      <c r="U10" s="6">
        <f>COUNTIF(review2_code,T10)</f>
        <v>3</v>
      </c>
      <c r="V10" s="4" t="str">
        <f>VLOOKUP(T10,review2,10,FALSE)</f>
        <v>DucDNM2</v>
      </c>
      <c r="W10" s="4" t="str">
        <f>VLOOKUP(T10,review2,11,FALSE)</f>
        <v>VanTTN2</v>
      </c>
      <c r="X10" s="4" t="b">
        <f>OR(EXACT(V10,H10),EXACT(V10,I10),EXACT(W10,H10),EXACT(W10,I10))</f>
        <v>0</v>
      </c>
      <c r="Y10" s="53">
        <f>VLOOKUP(T10,review2,7,FALSE)</f>
        <v>46092</v>
      </c>
      <c r="Z10" s="53" t="str">
        <f>VLOOKUP(T10,review2,8,FALSE)</f>
        <v>Wed</v>
      </c>
      <c r="AA10" s="47">
        <f>INT(MOD(T10/10,10))</f>
        <v>3</v>
      </c>
      <c r="AB10" s="47" t="e">
        <f>VLOOKUP(J10,review2,9,FALSE)</f>
        <v>#N/A</v>
      </c>
      <c r="AC10" s="47"/>
      <c r="AD10" s="6">
        <v>14341</v>
      </c>
      <c r="AE10" s="6">
        <f>COUNTIF(review3_code,AD10)</f>
        <v>3</v>
      </c>
      <c r="AF10" s="54" t="str">
        <f>VLOOKUP(AD10,review3,10,FALSE)</f>
        <v>TamPM</v>
      </c>
      <c r="AG10" s="54" t="str">
        <f>VLOOKUP(AD10,review3,11,FALSE)</f>
        <v>LamNN15</v>
      </c>
      <c r="AH10" s="47" t="b">
        <f>OR(EXACT(AF10,H10),EXACT(AF10,I10),EXACT(AG10,H10),EXACT(AG10,I10))</f>
        <v>0</v>
      </c>
      <c r="AI10" s="47" t="b">
        <f>OR(EXACT(AF10,V10),EXACT(AF10,W10),EXACT(AG10,V10),EXACT(AG10,W10))</f>
        <v>0</v>
      </c>
      <c r="AJ10" s="53">
        <f>VLOOKUP(AD10,review3,7,FALSE)</f>
        <v>46133</v>
      </c>
      <c r="AK10" s="53" t="str">
        <f>VLOOKUP(AD10,review3,8,FALSE)</f>
        <v>Tue</v>
      </c>
      <c r="AL10" s="47">
        <f>VLOOKUP(AD10,review3,4,FALSE)</f>
        <v>4</v>
      </c>
      <c r="AM10" s="47" t="str">
        <f>VLOOKUP(AD10,review3,9,FALSE)</f>
        <v>NVH.415</v>
      </c>
      <c r="AN10" s="55"/>
      <c r="AO10" t="s">
        <v>688</v>
      </c>
      <c r="AP10" s="56">
        <v>201</v>
      </c>
      <c r="AQ10" s="47" t="str">
        <f>VLOOKUP(AP10,defense1_list,7,FALSE)</f>
        <v>HuongNTC2_QuynhTNN4_KiemHH_NguHCV_TamPM</v>
      </c>
      <c r="AR10" s="57">
        <f>COUNTIF(defense1_forgroup_code,AP10)</f>
        <v>7</v>
      </c>
      <c r="AS10" s="4" t="b">
        <f>ISNUMBER(SEARCH(H10,AQ10))</f>
        <v>0</v>
      </c>
      <c r="AT10" s="4" t="b">
        <f>AND(NOT(ISBLANK(I10)),(ISNUMBER(SEARCH(I10,AQ10))))</f>
        <v>0</v>
      </c>
      <c r="AU10" s="4" t="b">
        <f>(IFERROR(SEARCH(AF10,AQ10),0)+IFERROR(SEARCH(AG10,AQ10),0))&gt;0</f>
        <v>1</v>
      </c>
      <c r="AV10" s="47"/>
      <c r="AW10" s="47" t="s">
        <v>689</v>
      </c>
      <c r="AX10" s="47"/>
      <c r="AY10" s="47"/>
      <c r="AZ10" s="127">
        <v>101</v>
      </c>
      <c r="BA10" s="47" t="str">
        <f>VLOOKUP(AZ10,defense2_list,7,FALSE)</f>
        <v>HuongNTC2_HungLD5_SangNM18_TamPM_LamNN15</v>
      </c>
      <c r="BB10" s="57">
        <f>COUNTIF(defense2_forgroup_code,AZ10)</f>
        <v>9</v>
      </c>
      <c r="BC10" s="4" t="b">
        <f>ISNUMBER(SEARCH(H10,BA10))</f>
        <v>0</v>
      </c>
      <c r="BD10" s="4" t="b">
        <f>AND(NOT(ISBLANK(I10)),(ISNUMBER(SEARCH(I10,AZ10))))</f>
        <v>0</v>
      </c>
      <c r="BE10" s="4"/>
      <c r="BF10" s="47"/>
      <c r="BG10" s="47"/>
    </row>
    <row r="11" spans="1:59" ht="15" thickBot="1" x14ac:dyDescent="0.4">
      <c r="A11" s="47">
        <v>125</v>
      </c>
      <c r="B11" s="48"/>
      <c r="C11" s="49" t="s">
        <v>107</v>
      </c>
      <c r="D11" s="58" t="s">
        <v>108</v>
      </c>
      <c r="E11" s="14" t="s">
        <v>109</v>
      </c>
      <c r="F11" s="14" t="s">
        <v>110</v>
      </c>
      <c r="G11" s="49" t="s">
        <v>600</v>
      </c>
      <c r="H11" s="50" t="s">
        <v>646</v>
      </c>
      <c r="I11" s="51" t="s">
        <v>12</v>
      </c>
      <c r="J11" s="6">
        <v>4151</v>
      </c>
      <c r="K11" s="6">
        <f>COUNTIF(review1_code,J11)</f>
        <v>3</v>
      </c>
      <c r="L11" s="4" t="str">
        <f>VLOOKUP(J11,review1,10,FALSE)</f>
        <v>NhanDT35</v>
      </c>
      <c r="M11" s="4" t="str">
        <f>VLOOKUP(J11,review1,11,FALSE)</f>
        <v>LongT5</v>
      </c>
      <c r="N11" s="47" t="b">
        <f>OR(EXACT(L11,H11),EXACT(L11,I11),EXACT(M11,H11),EXACT(M11,I11))</f>
        <v>0</v>
      </c>
      <c r="O11" s="52">
        <f>VLOOKUP(J11,review1,7,FALSE)</f>
        <v>46048</v>
      </c>
      <c r="P11" s="52" t="str">
        <f>VLOOKUP(J11,review1,8,FALSE)</f>
        <v>Mon</v>
      </c>
      <c r="Q11" s="47">
        <f>INT(MOD(J11/10,10))</f>
        <v>5</v>
      </c>
      <c r="R11" s="47" t="str">
        <f>VLOOKUP(J11,review1,9,FALSE)</f>
        <v>NVH G.01</v>
      </c>
      <c r="S11" s="47">
        <f>J11+4000</f>
        <v>8151</v>
      </c>
      <c r="T11" s="6">
        <v>8151</v>
      </c>
      <c r="U11" s="6">
        <f>COUNTIF(review2_code,T11)</f>
        <v>3</v>
      </c>
      <c r="V11" s="4" t="str">
        <f>VLOOKUP(T11,review2,10,FALSE)</f>
        <v>NhanDT35</v>
      </c>
      <c r="W11" s="4" t="str">
        <f>VLOOKUP(T11,review2,11,FALSE)</f>
        <v>LongT5</v>
      </c>
      <c r="X11" s="4" t="b">
        <f>OR(EXACT(V11,H11),EXACT(V11,I11),EXACT(W11,H11),EXACT(W11,I11))</f>
        <v>0</v>
      </c>
      <c r="Y11" s="53">
        <f>VLOOKUP(T11,review2,7,FALSE)</f>
        <v>46089</v>
      </c>
      <c r="Z11" s="53" t="str">
        <f>VLOOKUP(T11,review2,8,FALSE)</f>
        <v>Sun</v>
      </c>
      <c r="AA11" s="47">
        <f>INT(MOD(T11/10,10))</f>
        <v>5</v>
      </c>
      <c r="AB11" s="47" t="e">
        <f>VLOOKUP(J11,review2,9,FALSE)</f>
        <v>#N/A</v>
      </c>
      <c r="AC11" s="47"/>
      <c r="AD11" s="6">
        <v>14621</v>
      </c>
      <c r="AE11" s="6">
        <f>COUNTIF(review3_code,AD11)</f>
        <v>3</v>
      </c>
      <c r="AF11" s="54" t="str">
        <f>VLOOKUP(AD11,review3,10,FALSE)</f>
        <v>HuongNTC2</v>
      </c>
      <c r="AG11" s="54" t="str">
        <f>VLOOKUP(AD11,review3,11,FALSE)</f>
        <v>VanTTN2</v>
      </c>
      <c r="AH11" s="47" t="b">
        <f>OR(EXACT(AF11,H11),EXACT(AF11,I11),EXACT(AG11,H11),EXACT(AG11,I11))</f>
        <v>0</v>
      </c>
      <c r="AI11" s="47" t="b">
        <f>OR(EXACT(AF11,V11),EXACT(AF11,W11),EXACT(AG11,V11),EXACT(AG11,W11))</f>
        <v>0</v>
      </c>
      <c r="AJ11" s="53">
        <f>VLOOKUP(AD11,review3,7,FALSE)</f>
        <v>46136</v>
      </c>
      <c r="AK11" s="53" t="str">
        <f>VLOOKUP(AD11,review3,8,FALSE)</f>
        <v>Fri</v>
      </c>
      <c r="AL11" s="47">
        <f>VLOOKUP(AD11,review3,4,FALSE)</f>
        <v>2</v>
      </c>
      <c r="AM11" s="47" t="str">
        <f>VLOOKUP(AD11,review3,9,FALSE)</f>
        <v>NVH.414</v>
      </c>
      <c r="AN11" s="55"/>
      <c r="AO11" t="s">
        <v>688</v>
      </c>
      <c r="AP11" s="56">
        <v>201</v>
      </c>
      <c r="AQ11" s="47" t="str">
        <f>VLOOKUP(AP11,defense1_list,7,FALSE)</f>
        <v>HuongNTC2_QuynhTNN4_KiemHH_NguHCV_TamPM</v>
      </c>
      <c r="AR11" s="57">
        <f>COUNTIF(defense1_forgroup_code,AP11)</f>
        <v>7</v>
      </c>
      <c r="AS11" s="4" t="b">
        <f>ISNUMBER(SEARCH(H11,AQ11))</f>
        <v>0</v>
      </c>
      <c r="AT11" s="4" t="b">
        <f>AND(NOT(ISBLANK(I11)),(ISNUMBER(SEARCH(I11,AQ11))))</f>
        <v>0</v>
      </c>
      <c r="AU11" s="4" t="b">
        <f>(IFERROR(SEARCH(AF11,AQ11),0)+IFERROR(SEARCH(AG11,AQ11),0))&gt;0</f>
        <v>1</v>
      </c>
      <c r="AV11" s="47"/>
      <c r="AW11" s="47" t="s">
        <v>689</v>
      </c>
      <c r="AX11" s="47"/>
      <c r="AY11" s="47"/>
      <c r="AZ11" s="127">
        <v>101</v>
      </c>
      <c r="BA11" s="47" t="str">
        <f>VLOOKUP(AZ11,defense2_list,7,FALSE)</f>
        <v>HuongNTC2_HungLD5_SangNM18_TamPM_LamNN15</v>
      </c>
      <c r="BB11" s="57">
        <f>COUNTIF(defense2_forgroup_code,AZ11)</f>
        <v>9</v>
      </c>
      <c r="BC11" s="4" t="b">
        <f>ISNUMBER(SEARCH(H11,BA11))</f>
        <v>0</v>
      </c>
      <c r="BD11" s="4" t="b">
        <f>AND(NOT(ISBLANK(I11)),(ISNUMBER(SEARCH(I11,AZ11))))</f>
        <v>0</v>
      </c>
      <c r="BE11" s="4"/>
      <c r="BF11" s="47"/>
      <c r="BG11" s="47"/>
    </row>
    <row r="12" spans="1:59" ht="15.5" customHeight="1" thickBot="1" x14ac:dyDescent="0.4">
      <c r="A12" s="47">
        <v>80</v>
      </c>
      <c r="B12" s="48"/>
      <c r="C12" s="49" t="s">
        <v>103</v>
      </c>
      <c r="D12" s="58" t="s">
        <v>104</v>
      </c>
      <c r="E12" s="14" t="s">
        <v>105</v>
      </c>
      <c r="F12" s="14" t="s">
        <v>106</v>
      </c>
      <c r="G12" s="49" t="s">
        <v>600</v>
      </c>
      <c r="H12" s="50" t="s">
        <v>646</v>
      </c>
      <c r="I12" s="51" t="s">
        <v>12</v>
      </c>
      <c r="J12" s="6">
        <v>4141</v>
      </c>
      <c r="K12" s="6">
        <f>COUNTIF(review1_code,J12)</f>
        <v>3</v>
      </c>
      <c r="L12" s="4" t="str">
        <f>VLOOKUP(J12,review1,10,FALSE)</f>
        <v>NhanDT35</v>
      </c>
      <c r="M12" s="4" t="str">
        <f>VLOOKUP(J12,review1,11,FALSE)</f>
        <v>LongT5</v>
      </c>
      <c r="N12" s="47" t="b">
        <f>OR(EXACT(L12,H12),EXACT(L12,I12),EXACT(M12,H12),EXACT(M12,I12))</f>
        <v>0</v>
      </c>
      <c r="O12" s="52">
        <f>VLOOKUP(J12,review1,7,FALSE)</f>
        <v>46048</v>
      </c>
      <c r="P12" s="52" t="str">
        <f>VLOOKUP(J12,review1,8,FALSE)</f>
        <v>Mon</v>
      </c>
      <c r="Q12" s="47">
        <f>INT(MOD(J12/10,10))</f>
        <v>4</v>
      </c>
      <c r="R12" s="47" t="str">
        <f>VLOOKUP(J12,review1,9,FALSE)</f>
        <v>NVH G.01</v>
      </c>
      <c r="S12" s="47">
        <f>J12+4000</f>
        <v>8141</v>
      </c>
      <c r="T12" s="6">
        <v>8141</v>
      </c>
      <c r="U12" s="6">
        <f>COUNTIF(review2_code,T12)</f>
        <v>3</v>
      </c>
      <c r="V12" s="4" t="str">
        <f>VLOOKUP(T12,review2,10,FALSE)</f>
        <v>NhanDT35</v>
      </c>
      <c r="W12" s="4" t="str">
        <f>VLOOKUP(T12,review2,11,FALSE)</f>
        <v>LongT5</v>
      </c>
      <c r="X12" s="4" t="b">
        <f>OR(EXACT(V12,H12),EXACT(V12,I12),EXACT(W12,H12),EXACT(W12,I12))</f>
        <v>0</v>
      </c>
      <c r="Y12" s="53">
        <f>VLOOKUP(T12,review2,7,FALSE)</f>
        <v>46089</v>
      </c>
      <c r="Z12" s="53" t="str">
        <f>VLOOKUP(T12,review2,8,FALSE)</f>
        <v>Sun</v>
      </c>
      <c r="AA12" s="47">
        <f>INT(MOD(T12/10,10))</f>
        <v>4</v>
      </c>
      <c r="AB12" s="47" t="e">
        <f>VLOOKUP(J12,review2,9,FALSE)</f>
        <v>#N/A</v>
      </c>
      <c r="AC12" s="47"/>
      <c r="AD12" s="6">
        <v>14222</v>
      </c>
      <c r="AE12" s="6">
        <f>COUNTIF(review3_code,AD12)</f>
        <v>3</v>
      </c>
      <c r="AF12" s="54" t="str">
        <f>VLOOKUP(AD12,review3,10,FALSE)</f>
        <v>HuongNTC2</v>
      </c>
      <c r="AG12" s="54" t="str">
        <f>VLOOKUP(AD12,review3,11,FALSE)</f>
        <v>VanTTN2</v>
      </c>
      <c r="AH12" s="47" t="b">
        <f>OR(EXACT(AF12,H12),EXACT(AF12,I12),EXACT(AG12,H12),EXACT(AG12,I12))</f>
        <v>0</v>
      </c>
      <c r="AI12" s="47" t="b">
        <f>OR(EXACT(AF12,V12),EXACT(AF12,W12),EXACT(AG12,V12),EXACT(AG12,W12))</f>
        <v>0</v>
      </c>
      <c r="AJ12" s="53">
        <f>VLOOKUP(AD12,review3,7,FALSE)</f>
        <v>46132</v>
      </c>
      <c r="AK12" s="53" t="str">
        <f>VLOOKUP(AD12,review3,8,FALSE)</f>
        <v>Mon</v>
      </c>
      <c r="AL12" s="47">
        <f>VLOOKUP(AD12,review3,4,FALSE)</f>
        <v>2</v>
      </c>
      <c r="AM12" s="47" t="str">
        <f>VLOOKUP(AD12,review3,9,FALSE)</f>
        <v>NVH.414</v>
      </c>
      <c r="AN12" s="55"/>
      <c r="AO12" t="s">
        <v>688</v>
      </c>
      <c r="AP12" s="56">
        <v>301</v>
      </c>
      <c r="AQ12" s="47" t="str">
        <f>VLOOKUP(AP12,defense1_list,7,FALSE)</f>
        <v>HuongNTC2_VanTTN2_TamPM_LinhNV (Long Chau)_LamNN15</v>
      </c>
      <c r="AR12" s="57">
        <f>COUNTIF(defense1_forgroup_code,AP12)</f>
        <v>7</v>
      </c>
      <c r="AS12" s="4" t="b">
        <f>ISNUMBER(SEARCH(H12,AQ12))</f>
        <v>0</v>
      </c>
      <c r="AT12" s="4" t="b">
        <f>AND(NOT(ISBLANK(I12)),(ISNUMBER(SEARCH(I12,AQ12))))</f>
        <v>0</v>
      </c>
      <c r="AU12" s="4" t="b">
        <f>(IFERROR(SEARCH(AF12,AQ12),0)+IFERROR(SEARCH(AG12,AQ12),0))&gt;0</f>
        <v>1</v>
      </c>
      <c r="AV12" s="47"/>
      <c r="AW12" s="47" t="s">
        <v>689</v>
      </c>
      <c r="AX12" s="47"/>
      <c r="AY12" s="47"/>
      <c r="AZ12" s="127">
        <v>101</v>
      </c>
      <c r="BA12" s="47" t="str">
        <f>VLOOKUP(AZ12,defense2_list,7,FALSE)</f>
        <v>HuongNTC2_HungLD5_SangNM18_TamPM_LamNN15</v>
      </c>
      <c r="BB12" s="57">
        <f>COUNTIF(defense2_forgroup_code,AZ12)</f>
        <v>9</v>
      </c>
      <c r="BC12" s="4" t="b">
        <f>ISNUMBER(SEARCH(H12,BA12))</f>
        <v>0</v>
      </c>
      <c r="BD12" s="4" t="b">
        <f>AND(NOT(ISBLANK(I12)),(ISNUMBER(SEARCH(I12,AZ12))))</f>
        <v>0</v>
      </c>
      <c r="BE12" s="4"/>
      <c r="BF12" s="47"/>
      <c r="BG12" s="47"/>
    </row>
    <row r="13" spans="1:59" ht="15" thickBot="1" x14ac:dyDescent="0.4">
      <c r="A13" s="47">
        <v>109</v>
      </c>
      <c r="B13" s="48"/>
      <c r="C13" s="49" t="s">
        <v>151</v>
      </c>
      <c r="D13" s="58" t="s">
        <v>152</v>
      </c>
      <c r="E13" s="14" t="s">
        <v>153</v>
      </c>
      <c r="F13" s="14" t="s">
        <v>154</v>
      </c>
      <c r="G13" s="49" t="s">
        <v>79</v>
      </c>
      <c r="H13" s="50" t="s">
        <v>638</v>
      </c>
      <c r="I13" s="51"/>
      <c r="J13" s="6">
        <v>4341</v>
      </c>
      <c r="K13" s="6">
        <f>COUNTIF(review1_code,J13)</f>
        <v>3</v>
      </c>
      <c r="L13" s="4" t="str">
        <f>VLOOKUP(J13,review1,10,FALSE)</f>
        <v>NhanDT35</v>
      </c>
      <c r="M13" s="4" t="str">
        <f>VLOOKUP(J13,review1,11,FALSE)</f>
        <v>NguyenTT15</v>
      </c>
      <c r="N13" s="47" t="b">
        <f>OR(EXACT(L13,H13),EXACT(L13,I13),EXACT(M13,H13),EXACT(M13,I13))</f>
        <v>0</v>
      </c>
      <c r="O13" s="52">
        <f>VLOOKUP(J13,review1,7,FALSE)</f>
        <v>46050</v>
      </c>
      <c r="P13" s="52" t="str">
        <f>VLOOKUP(J13,review1,8,FALSE)</f>
        <v>Wed</v>
      </c>
      <c r="Q13" s="47">
        <f>INT(MOD(J13/10,10))</f>
        <v>4</v>
      </c>
      <c r="R13" s="47" t="str">
        <f>VLOOKUP(J13,review1,9,FALSE)</f>
        <v>NVH G.01</v>
      </c>
      <c r="S13" s="47">
        <f>J13+4000</f>
        <v>8341</v>
      </c>
      <c r="T13" s="6">
        <v>8341</v>
      </c>
      <c r="U13" s="6">
        <f>COUNTIF(review2_code,T13)</f>
        <v>3</v>
      </c>
      <c r="V13" s="4" t="str">
        <f>VLOOKUP(T13,review2,10,FALSE)</f>
        <v>NhanDT35</v>
      </c>
      <c r="W13" s="4" t="str">
        <f>VLOOKUP(T13,review2,11,FALSE)</f>
        <v>NguyenTT15</v>
      </c>
      <c r="X13" s="4" t="b">
        <f>OR(EXACT(V13,H13),EXACT(V13,I13),EXACT(W13,H13),EXACT(W13,I13))</f>
        <v>0</v>
      </c>
      <c r="Y13" s="53">
        <f>VLOOKUP(T13,review2,7,FALSE)</f>
        <v>46091</v>
      </c>
      <c r="Z13" s="53" t="str">
        <f>VLOOKUP(T13,review2,8,FALSE)</f>
        <v>Tue</v>
      </c>
      <c r="AA13" s="47">
        <f>INT(MOD(T13/10,10))</f>
        <v>4</v>
      </c>
      <c r="AB13" s="47" t="e">
        <f>VLOOKUP(J13,review2,9,FALSE)</f>
        <v>#N/A</v>
      </c>
      <c r="AC13" s="47"/>
      <c r="AD13" s="6">
        <v>14431</v>
      </c>
      <c r="AE13" s="6">
        <f>COUNTIF(review3_code,AD13)</f>
        <v>3</v>
      </c>
      <c r="AF13" s="54" t="str">
        <f>VLOOKUP(AD13,review3,10,FALSE)</f>
        <v>TaiNT51</v>
      </c>
      <c r="AG13" s="54" t="str">
        <f>VLOOKUP(AD13,review3,11,FALSE)</f>
        <v>LamNN15</v>
      </c>
      <c r="AH13" s="47" t="b">
        <f>OR(EXACT(AF13,H13),EXACT(AF13,I13),EXACT(AG13,H13),EXACT(AG13,I13))</f>
        <v>0</v>
      </c>
      <c r="AI13" s="47" t="b">
        <f>OR(EXACT(AF13,V13),EXACT(AF13,W13),EXACT(AG13,V13),EXACT(AG13,W13))</f>
        <v>0</v>
      </c>
      <c r="AJ13" s="53">
        <f>VLOOKUP(AD13,review3,7,FALSE)</f>
        <v>46134</v>
      </c>
      <c r="AK13" s="53" t="str">
        <f>VLOOKUP(AD13,review3,8,FALSE)</f>
        <v>Wed</v>
      </c>
      <c r="AL13" s="47">
        <f>VLOOKUP(AD13,review3,4,FALSE)</f>
        <v>3</v>
      </c>
      <c r="AM13" s="47" t="str">
        <f>VLOOKUP(AD13,review3,9,FALSE)</f>
        <v>NVH.415</v>
      </c>
      <c r="AN13" s="55"/>
      <c r="AO13" t="s">
        <v>687</v>
      </c>
      <c r="AP13" s="56"/>
      <c r="AQ13" s="47" t="e">
        <f>VLOOKUP(AP13,defense1_list,7,FALSE)</f>
        <v>#N/A</v>
      </c>
      <c r="AR13" s="57">
        <f>COUNTIF(defense1_forgroup_code,AP13)</f>
        <v>0</v>
      </c>
      <c r="AS13" s="4" t="b">
        <f>ISNUMBER(SEARCH(H13,AQ13))</f>
        <v>0</v>
      </c>
      <c r="AT13" s="4" t="b">
        <f>AND(NOT(ISBLANK(I13)),(ISNUMBER(SEARCH(I13,AQ13))))</f>
        <v>0</v>
      </c>
      <c r="AU13" s="4"/>
      <c r="AV13" s="47"/>
      <c r="AW13" s="47" t="s">
        <v>687</v>
      </c>
      <c r="AX13" s="47"/>
      <c r="AY13" s="47"/>
      <c r="AZ13" s="127">
        <v>102</v>
      </c>
      <c r="BA13" s="47" t="str">
        <f>VLOOKUP(AZ13,defense2_list,7,FALSE)</f>
        <v>DucDNM2_VanTTN2_HoangNT20_NguHCV_LongT5</v>
      </c>
      <c r="BB13" s="57">
        <f>COUNTIF(defense2_forgroup_code,AZ13)</f>
        <v>9</v>
      </c>
      <c r="BC13" s="4" t="b">
        <f>ISNUMBER(SEARCH(H13,BA13))</f>
        <v>0</v>
      </c>
      <c r="BD13" s="4" t="b">
        <f>AND(NOT(ISBLANK(I13)),(ISNUMBER(SEARCH(I13,AZ13))))</f>
        <v>0</v>
      </c>
      <c r="BE13" s="4"/>
      <c r="BF13" s="47"/>
      <c r="BG13" s="47"/>
    </row>
    <row r="14" spans="1:59" ht="29.5" thickBot="1" x14ac:dyDescent="0.4">
      <c r="A14" s="47">
        <v>75</v>
      </c>
      <c r="B14" s="48"/>
      <c r="C14" s="49" t="s">
        <v>425</v>
      </c>
      <c r="D14" s="58" t="s">
        <v>426</v>
      </c>
      <c r="E14" s="14" t="s">
        <v>427</v>
      </c>
      <c r="F14" s="14" t="s">
        <v>428</v>
      </c>
      <c r="G14" s="49" t="s">
        <v>625</v>
      </c>
      <c r="H14" s="50" t="s">
        <v>649</v>
      </c>
      <c r="I14" s="51" t="s">
        <v>650</v>
      </c>
      <c r="J14" s="6">
        <v>3533</v>
      </c>
      <c r="K14" s="6">
        <f>COUNTIF(review1_code,J14)</f>
        <v>3</v>
      </c>
      <c r="L14" s="4" t="str">
        <f>VLOOKUP(J14,review1,10,FALSE)</f>
        <v>PhuongLHK</v>
      </c>
      <c r="M14" s="4" t="str">
        <f>VLOOKUP(J14,review1,11,FALSE)</f>
        <v>MinhTTH5</v>
      </c>
      <c r="N14" s="47" t="b">
        <f>OR(EXACT(L14,H14),EXACT(L14,I14),EXACT(M14,H14),EXACT(M14,I14))</f>
        <v>0</v>
      </c>
      <c r="O14" s="52">
        <f>VLOOKUP(J14,review1,7,FALSE)</f>
        <v>46045</v>
      </c>
      <c r="P14" s="52" t="str">
        <f>VLOOKUP(J14,review1,8,FALSE)</f>
        <v>Fri</v>
      </c>
      <c r="Q14" s="47">
        <f>INT(MOD(J14/10,10))</f>
        <v>3</v>
      </c>
      <c r="R14" s="47" t="str">
        <f>VLOOKUP(J14,review1,9,FALSE)</f>
        <v>NVH G.05</v>
      </c>
      <c r="S14" s="47">
        <f>J14+4000</f>
        <v>7533</v>
      </c>
      <c r="T14" s="6">
        <v>7533</v>
      </c>
      <c r="U14" s="6">
        <f>COUNTIF(review2_code,T14)</f>
        <v>3</v>
      </c>
      <c r="V14" s="4" t="str">
        <f>VLOOKUP(T14,review2,10,FALSE)</f>
        <v>PhuongLHK</v>
      </c>
      <c r="W14" s="4" t="str">
        <f>VLOOKUP(T14,review2,11,FALSE)</f>
        <v>MinhTTH5</v>
      </c>
      <c r="X14" s="4" t="b">
        <f>OR(EXACT(V14,H14),EXACT(V14,I14),EXACT(W14,H14),EXACT(W14,I14))</f>
        <v>0</v>
      </c>
      <c r="Y14" s="53">
        <f>VLOOKUP(T14,review2,7,FALSE)</f>
        <v>46086</v>
      </c>
      <c r="Z14" s="53" t="str">
        <f>VLOOKUP(T14,review2,8,FALSE)</f>
        <v>Thu</v>
      </c>
      <c r="AA14" s="47">
        <f>INT(MOD(T14/10,10))</f>
        <v>3</v>
      </c>
      <c r="AB14" s="47" t="e">
        <f>VLOOKUP(J14,review2,9,FALSE)</f>
        <v>#N/A</v>
      </c>
      <c r="AC14" s="47"/>
      <c r="AD14" s="6">
        <v>14531</v>
      </c>
      <c r="AE14" s="6">
        <f>COUNTIF(review3_code,AD14)</f>
        <v>3</v>
      </c>
      <c r="AF14" s="54" t="str">
        <f>VLOOKUP(AD14,review3,10,FALSE)</f>
        <v>DucDNM2</v>
      </c>
      <c r="AG14" s="54" t="str">
        <f>VLOOKUP(AD14,review3,11,FALSE)</f>
        <v>LamNN15</v>
      </c>
      <c r="AH14" s="47" t="b">
        <f>OR(EXACT(AF14,H14),EXACT(AF14,I14),EXACT(AG14,H14),EXACT(AG14,I14))</f>
        <v>0</v>
      </c>
      <c r="AI14" s="47" t="b">
        <f>OR(EXACT(AF14,V14),EXACT(AF14,W14),EXACT(AG14,V14),EXACT(AG14,W14))</f>
        <v>0</v>
      </c>
      <c r="AJ14" s="53">
        <f>VLOOKUP(AD14,review3,7,FALSE)</f>
        <v>46135</v>
      </c>
      <c r="AK14" s="53" t="str">
        <f>VLOOKUP(AD14,review3,8,FALSE)</f>
        <v>Thu</v>
      </c>
      <c r="AL14" s="47">
        <f>VLOOKUP(AD14,review3,4,FALSE)</f>
        <v>3</v>
      </c>
      <c r="AM14" s="47" t="str">
        <f>VLOOKUP(AD14,review3,9,FALSE)</f>
        <v>NVH.306</v>
      </c>
      <c r="AN14" s="55"/>
      <c r="AO14" t="s">
        <v>687</v>
      </c>
      <c r="AP14" s="122"/>
      <c r="AQ14" s="47" t="e">
        <f>VLOOKUP(AP14,defense1_list,7,FALSE)</f>
        <v>#N/A</v>
      </c>
      <c r="AR14" s="57">
        <f>COUNTIF(defense1_forgroup_code,AP14)</f>
        <v>0</v>
      </c>
      <c r="AS14" s="4" t="b">
        <f>ISNUMBER(SEARCH(H14,AQ14))</f>
        <v>0</v>
      </c>
      <c r="AT14" s="4" t="b">
        <f>AND(NOT(ISBLANK(I14)),(ISNUMBER(SEARCH(I14,AQ14))))</f>
        <v>0</v>
      </c>
      <c r="AU14" s="4"/>
      <c r="AV14" s="47"/>
      <c r="AW14" s="47" t="s">
        <v>687</v>
      </c>
      <c r="AX14" s="47"/>
      <c r="AY14" s="47"/>
      <c r="AZ14" s="127">
        <v>102</v>
      </c>
      <c r="BA14" s="47" t="str">
        <f>VLOOKUP(AZ14,defense2_list,7,FALSE)</f>
        <v>DucDNM2_VanTTN2_HoangNT20_NguHCV_LongT5</v>
      </c>
      <c r="BB14" s="57">
        <f>COUNTIF(defense2_forgroup_code,AZ14)</f>
        <v>9</v>
      </c>
      <c r="BC14" s="4" t="b">
        <f>ISNUMBER(SEARCH(H14,BA14))</f>
        <v>0</v>
      </c>
      <c r="BD14" s="4" t="b">
        <f>AND(NOT(ISBLANK(I14)),(ISNUMBER(SEARCH(I14,AZ14))))</f>
        <v>0</v>
      </c>
      <c r="BE14" s="4"/>
      <c r="BF14" s="47"/>
      <c r="BG14" s="47"/>
    </row>
    <row r="15" spans="1:59" ht="29.5" thickBot="1" x14ac:dyDescent="0.4">
      <c r="A15" s="47">
        <v>95</v>
      </c>
      <c r="B15" s="48"/>
      <c r="C15" s="49" t="s">
        <v>441</v>
      </c>
      <c r="D15" s="58" t="s">
        <v>310</v>
      </c>
      <c r="E15" s="14" t="s">
        <v>442</v>
      </c>
      <c r="F15" s="14" t="s">
        <v>443</v>
      </c>
      <c r="G15" s="49" t="s">
        <v>623</v>
      </c>
      <c r="H15" s="50" t="s">
        <v>14</v>
      </c>
      <c r="I15" s="51" t="s">
        <v>77</v>
      </c>
      <c r="J15" s="6">
        <v>4212</v>
      </c>
      <c r="K15" s="6">
        <f>COUNTIF(review1_code,J15)</f>
        <v>3</v>
      </c>
      <c r="L15" s="4" t="str">
        <f>VLOOKUP(J15,review1,10,FALSE)</f>
        <v>TaiNT51</v>
      </c>
      <c r="M15" s="4" t="str">
        <f>VLOOKUP(J15,review1,11,FALSE)</f>
        <v>MinhTTH5</v>
      </c>
      <c r="N15" s="47" t="b">
        <f>OR(EXACT(L15,H15),EXACT(L15,I15),EXACT(M15,H15),EXACT(M15,I15))</f>
        <v>0</v>
      </c>
      <c r="O15" s="52">
        <f>VLOOKUP(J15,review1,7,FALSE)</f>
        <v>46049</v>
      </c>
      <c r="P15" s="52" t="str">
        <f>VLOOKUP(J15,review1,8,FALSE)</f>
        <v>Tue</v>
      </c>
      <c r="Q15" s="47">
        <f>INT(MOD(J15/10,10))</f>
        <v>1</v>
      </c>
      <c r="R15" s="47" t="str">
        <f>VLOOKUP(J15,review1,9,FALSE)</f>
        <v>NVH G.02</v>
      </c>
      <c r="S15" s="47">
        <f>J15+4000</f>
        <v>8212</v>
      </c>
      <c r="T15" s="6">
        <v>8212</v>
      </c>
      <c r="U15" s="6">
        <f>COUNTIF(review2_code,T15)</f>
        <v>3</v>
      </c>
      <c r="V15" s="4" t="str">
        <f>VLOOKUP(T15,review2,10,FALSE)</f>
        <v>TaiNT51</v>
      </c>
      <c r="W15" s="4" t="str">
        <f>VLOOKUP(T15,review2,11,FALSE)</f>
        <v>MinhTTH5</v>
      </c>
      <c r="X15" s="4" t="b">
        <f>OR(EXACT(V15,H15),EXACT(V15,I15),EXACT(W15,H15),EXACT(W15,I15))</f>
        <v>0</v>
      </c>
      <c r="Y15" s="53">
        <f>VLOOKUP(T15,review2,7,FALSE)</f>
        <v>46090</v>
      </c>
      <c r="Z15" s="53" t="str">
        <f>VLOOKUP(T15,review2,8,FALSE)</f>
        <v>Mon</v>
      </c>
      <c r="AA15" s="47">
        <f>INT(MOD(T15/10,10))</f>
        <v>1</v>
      </c>
      <c r="AB15" s="47" t="e">
        <f>VLOOKUP(J15,review2,9,FALSE)</f>
        <v>#N/A</v>
      </c>
      <c r="AC15" s="47"/>
      <c r="AD15" s="6">
        <v>14511</v>
      </c>
      <c r="AE15" s="6">
        <f>COUNTIF(review3_code,AD15)</f>
        <v>3</v>
      </c>
      <c r="AF15" s="54" t="str">
        <f>VLOOKUP(AD15,review3,10,FALSE)</f>
        <v>HuongNTC2</v>
      </c>
      <c r="AG15" s="54" t="str">
        <f>VLOOKUP(AD15,review3,11,FALSE)</f>
        <v>DucDNM2</v>
      </c>
      <c r="AH15" s="47" t="b">
        <f>OR(EXACT(AF15,H15),EXACT(AF15,I15),EXACT(AG15,H15),EXACT(AG15,I15))</f>
        <v>0</v>
      </c>
      <c r="AI15" s="47" t="b">
        <f>OR(EXACT(AF15,V15),EXACT(AF15,W15),EXACT(AG15,V15),EXACT(AG15,W15))</f>
        <v>0</v>
      </c>
      <c r="AJ15" s="53">
        <f>VLOOKUP(AD15,review3,7,FALSE)</f>
        <v>46135</v>
      </c>
      <c r="AK15" s="53" t="str">
        <f>VLOOKUP(AD15,review3,8,FALSE)</f>
        <v>Thu</v>
      </c>
      <c r="AL15" s="47">
        <f>VLOOKUP(AD15,review3,4,FALSE)</f>
        <v>1</v>
      </c>
      <c r="AM15" s="47" t="str">
        <f>VLOOKUP(AD15,review3,9,FALSE)</f>
        <v>NVH.414</v>
      </c>
      <c r="AN15" s="55"/>
      <c r="AO15" t="s">
        <v>687</v>
      </c>
      <c r="AP15" s="56"/>
      <c r="AQ15" s="47" t="e">
        <f>VLOOKUP(AP15,defense1_list,7,FALSE)</f>
        <v>#N/A</v>
      </c>
      <c r="AR15" s="57">
        <f>COUNTIF(defense1_forgroup_code,AP15)</f>
        <v>0</v>
      </c>
      <c r="AS15" s="4" t="b">
        <f>ISNUMBER(SEARCH(H15,AQ15))</f>
        <v>0</v>
      </c>
      <c r="AT15" s="4" t="b">
        <f>AND(NOT(ISBLANK(I15)),(ISNUMBER(SEARCH(I15,AQ15))))</f>
        <v>0</v>
      </c>
      <c r="AU15" s="4"/>
      <c r="AV15" s="47"/>
      <c r="AW15" s="47" t="s">
        <v>687</v>
      </c>
      <c r="AX15" s="47"/>
      <c r="AY15" s="47"/>
      <c r="AZ15" s="127">
        <v>102</v>
      </c>
      <c r="BA15" s="47" t="str">
        <f>VLOOKUP(AZ15,defense2_list,7,FALSE)</f>
        <v>DucDNM2_VanTTN2_HoangNT20_NguHCV_LongT5</v>
      </c>
      <c r="BB15" s="57">
        <f>COUNTIF(defense2_forgroup_code,AZ15)</f>
        <v>9</v>
      </c>
      <c r="BC15" s="4" t="b">
        <f>ISNUMBER(SEARCH(H15,BA15))</f>
        <v>0</v>
      </c>
      <c r="BD15" s="4" t="b">
        <f>AND(NOT(ISBLANK(I15)),(ISNUMBER(SEARCH(I15,AZ15))))</f>
        <v>0</v>
      </c>
      <c r="BE15" s="4"/>
      <c r="BF15" s="47"/>
      <c r="BG15" s="47"/>
    </row>
    <row r="16" spans="1:59" ht="29.5" thickBot="1" x14ac:dyDescent="0.4">
      <c r="A16" s="47">
        <v>29</v>
      </c>
      <c r="B16" s="48"/>
      <c r="C16" s="49" t="s">
        <v>174</v>
      </c>
      <c r="D16" s="58" t="s">
        <v>175</v>
      </c>
      <c r="E16" s="14" t="s">
        <v>176</v>
      </c>
      <c r="F16" s="14" t="s">
        <v>177</v>
      </c>
      <c r="G16" s="49" t="s">
        <v>603</v>
      </c>
      <c r="H16" s="50" t="s">
        <v>76</v>
      </c>
      <c r="I16" s="51" t="s">
        <v>77</v>
      </c>
      <c r="J16" s="6">
        <v>4312</v>
      </c>
      <c r="K16" s="6">
        <f>COUNTIF(review1_code,J16)</f>
        <v>3</v>
      </c>
      <c r="L16" s="4" t="str">
        <f>VLOOKUP(J16,review1,10,FALSE)</f>
        <v>NhanDT35</v>
      </c>
      <c r="M16" s="4" t="str">
        <f>VLOOKUP(J16,review1,11,FALSE)</f>
        <v>SangNM18</v>
      </c>
      <c r="N16" s="47" t="b">
        <f>OR(EXACT(L16,H16),EXACT(L16,I16),EXACT(M16,H16),EXACT(M16,I16))</f>
        <v>0</v>
      </c>
      <c r="O16" s="52">
        <f>VLOOKUP(J16,review1,7,FALSE)</f>
        <v>46050</v>
      </c>
      <c r="P16" s="52" t="str">
        <f>VLOOKUP(J16,review1,8,FALSE)</f>
        <v>Wed</v>
      </c>
      <c r="Q16" s="47">
        <f>INT(MOD(J16/10,10))</f>
        <v>1</v>
      </c>
      <c r="R16" s="47" t="str">
        <f>VLOOKUP(J16,review1,9,FALSE)</f>
        <v>NVH G.01</v>
      </c>
      <c r="S16" s="47">
        <f>J16+4000</f>
        <v>8312</v>
      </c>
      <c r="T16" s="6">
        <v>8312</v>
      </c>
      <c r="U16" s="6">
        <f>COUNTIF(review2_code,T16)</f>
        <v>3</v>
      </c>
      <c r="V16" s="4" t="str">
        <f>VLOOKUP(T16,review2,10,FALSE)</f>
        <v>NhanDT35</v>
      </c>
      <c r="W16" s="4" t="str">
        <f>VLOOKUP(T16,review2,11,FALSE)</f>
        <v>SangNM18</v>
      </c>
      <c r="X16" s="4" t="b">
        <f>OR(EXACT(V16,H16),EXACT(V16,I16),EXACT(W16,H16),EXACT(W16,I16))</f>
        <v>0</v>
      </c>
      <c r="Y16" s="53">
        <f>VLOOKUP(T16,review2,7,FALSE)</f>
        <v>46091</v>
      </c>
      <c r="Z16" s="53" t="str">
        <f>VLOOKUP(T16,review2,8,FALSE)</f>
        <v>Tue</v>
      </c>
      <c r="AA16" s="47">
        <f>INT(MOD(T16/10,10))</f>
        <v>1</v>
      </c>
      <c r="AB16" s="47" t="e">
        <f>VLOOKUP(J16,review2,9,FALSE)</f>
        <v>#N/A</v>
      </c>
      <c r="AC16" s="47"/>
      <c r="AD16" s="6">
        <v>14511</v>
      </c>
      <c r="AE16" s="6">
        <f>COUNTIF(review3_code,AD16)</f>
        <v>3</v>
      </c>
      <c r="AF16" s="54" t="str">
        <f>VLOOKUP(AD16,review3,10,FALSE)</f>
        <v>HuongNTC2</v>
      </c>
      <c r="AG16" s="54" t="str">
        <f>VLOOKUP(AD16,review3,11,FALSE)</f>
        <v>DucDNM2</v>
      </c>
      <c r="AH16" s="47" t="b">
        <f>OR(EXACT(AF16,H16),EXACT(AF16,I16),EXACT(AG16,H16),EXACT(AG16,I16))</f>
        <v>0</v>
      </c>
      <c r="AI16" s="47" t="b">
        <f>OR(EXACT(AF16,V16),EXACT(AF16,W16),EXACT(AG16,V16),EXACT(AG16,W16))</f>
        <v>0</v>
      </c>
      <c r="AJ16" s="53">
        <f>VLOOKUP(AD16,review3,7,FALSE)</f>
        <v>46135</v>
      </c>
      <c r="AK16" s="53" t="str">
        <f>VLOOKUP(AD16,review3,8,FALSE)</f>
        <v>Thu</v>
      </c>
      <c r="AL16" s="47">
        <f>VLOOKUP(AD16,review3,4,FALSE)</f>
        <v>1</v>
      </c>
      <c r="AM16" s="47" t="str">
        <f>VLOOKUP(AD16,review3,9,FALSE)</f>
        <v>NVH.414</v>
      </c>
      <c r="AN16" s="55"/>
      <c r="AO16" t="s">
        <v>688</v>
      </c>
      <c r="AP16" s="56">
        <v>303</v>
      </c>
      <c r="AQ16" s="47" t="str">
        <f>VLOOKUP(AP16,defense1_list,7,FALSE)</f>
        <v>DucDNM2_NgocTT4_HoangNT20_TriPT9_LongT5</v>
      </c>
      <c r="AR16" s="57">
        <f>COUNTIF(defense1_forgroup_code,AP16)</f>
        <v>7</v>
      </c>
      <c r="AS16" s="4" t="b">
        <f>ISNUMBER(SEARCH(H16,AQ16))</f>
        <v>0</v>
      </c>
      <c r="AT16" s="4" t="b">
        <f>AND(NOT(ISBLANK(I16)),(ISNUMBER(SEARCH(I16,AQ16))))</f>
        <v>0</v>
      </c>
      <c r="AU16" s="4" t="b">
        <f>(IFERROR(SEARCH(AF16,AQ16),0)+IFERROR(SEARCH(AG16,AQ16),0))&gt;0</f>
        <v>1</v>
      </c>
      <c r="AV16" s="47"/>
      <c r="AW16" s="47" t="s">
        <v>689</v>
      </c>
      <c r="AX16" s="47"/>
      <c r="AY16" s="47"/>
      <c r="AZ16" s="127">
        <v>102</v>
      </c>
      <c r="BA16" s="47" t="str">
        <f>VLOOKUP(AZ16,defense2_list,7,FALSE)</f>
        <v>DucDNM2_VanTTN2_HoangNT20_NguHCV_LongT5</v>
      </c>
      <c r="BB16" s="57">
        <f>COUNTIF(defense2_forgroup_code,AZ16)</f>
        <v>9</v>
      </c>
      <c r="BC16" s="4" t="b">
        <f>ISNUMBER(SEARCH(H16,BA16))</f>
        <v>0</v>
      </c>
      <c r="BD16" s="4" t="b">
        <f>AND(NOT(ISBLANK(I16)),(ISNUMBER(SEARCH(I16,AZ16))))</f>
        <v>0</v>
      </c>
      <c r="BE16" s="4"/>
      <c r="BF16" s="47"/>
      <c r="BG16" s="47"/>
    </row>
    <row r="17" spans="1:59" ht="29.5" thickBot="1" x14ac:dyDescent="0.4">
      <c r="A17" s="47">
        <v>68</v>
      </c>
      <c r="B17" s="48"/>
      <c r="C17" s="49" t="s">
        <v>285</v>
      </c>
      <c r="D17" s="58" t="s">
        <v>286</v>
      </c>
      <c r="E17" s="14" t="s">
        <v>287</v>
      </c>
      <c r="F17" s="14" t="s">
        <v>288</v>
      </c>
      <c r="G17" s="49" t="s">
        <v>80</v>
      </c>
      <c r="H17" s="50" t="s">
        <v>19</v>
      </c>
      <c r="I17" s="51"/>
      <c r="J17" s="6">
        <v>4223</v>
      </c>
      <c r="K17" s="6">
        <f>COUNTIF(review1_code,J17)</f>
        <v>3</v>
      </c>
      <c r="L17" s="4" t="str">
        <f>VLOOKUP(J17,review1,10,FALSE)</f>
        <v>PhuongLHK</v>
      </c>
      <c r="M17" s="4" t="str">
        <f>VLOOKUP(J17,review1,11,FALSE)</f>
        <v>MinhTTH5</v>
      </c>
      <c r="N17" s="47" t="b">
        <f>OR(EXACT(L17,H17),EXACT(L17,I17),EXACT(M17,H17),EXACT(M17,I17))</f>
        <v>0</v>
      </c>
      <c r="O17" s="52">
        <f>VLOOKUP(J17,review1,7,FALSE)</f>
        <v>46049</v>
      </c>
      <c r="P17" s="52" t="str">
        <f>VLOOKUP(J17,review1,8,FALSE)</f>
        <v>Tue</v>
      </c>
      <c r="Q17" s="47">
        <f>INT(MOD(J17/10,10))</f>
        <v>2</v>
      </c>
      <c r="R17" s="47" t="str">
        <f>VLOOKUP(J17,review1,9,FALSE)</f>
        <v>NVH G.01</v>
      </c>
      <c r="S17" s="47">
        <f>J17+4000</f>
        <v>8223</v>
      </c>
      <c r="T17" s="6">
        <v>8223</v>
      </c>
      <c r="U17" s="6">
        <f>COUNTIF(review2_code,T17)</f>
        <v>3</v>
      </c>
      <c r="V17" s="4" t="str">
        <f>VLOOKUP(T17,review2,10,FALSE)</f>
        <v>PhuongLHK</v>
      </c>
      <c r="W17" s="4" t="str">
        <f>VLOOKUP(T17,review2,11,FALSE)</f>
        <v>MinhTTH5</v>
      </c>
      <c r="X17" s="4" t="b">
        <f>OR(EXACT(V17,H17),EXACT(V17,I17),EXACT(W17,H17),EXACT(W17,I17))</f>
        <v>0</v>
      </c>
      <c r="Y17" s="53">
        <f>VLOOKUP(T17,review2,7,FALSE)</f>
        <v>46090</v>
      </c>
      <c r="Z17" s="53" t="str">
        <f>VLOOKUP(T17,review2,8,FALSE)</f>
        <v>Mon</v>
      </c>
      <c r="AA17" s="47">
        <f>INT(MOD(T17/10,10))</f>
        <v>2</v>
      </c>
      <c r="AB17" s="47" t="e">
        <f>VLOOKUP(J17,review2,9,FALSE)</f>
        <v>#N/A</v>
      </c>
      <c r="AC17" s="47"/>
      <c r="AD17" s="6">
        <v>14432</v>
      </c>
      <c r="AE17" s="6">
        <f>COUNTIF(review3_code,AD17)</f>
        <v>3</v>
      </c>
      <c r="AF17" s="54" t="str">
        <f>VLOOKUP(AD17,review3,10,FALSE)</f>
        <v>HoangNT20</v>
      </c>
      <c r="AG17" s="54" t="str">
        <f>VLOOKUP(AD17,review3,11,FALSE)</f>
        <v>NhanDT35</v>
      </c>
      <c r="AH17" s="47" t="b">
        <f>OR(EXACT(AF17,H17),EXACT(AF17,I17),EXACT(AG17,H17),EXACT(AG17,I17))</f>
        <v>0</v>
      </c>
      <c r="AI17" s="47" t="b">
        <f>OR(EXACT(AF17,V17),EXACT(AF17,W17),EXACT(AG17,V17),EXACT(AG17,W17))</f>
        <v>0</v>
      </c>
      <c r="AJ17" s="53">
        <f>VLOOKUP(AD17,review3,7,FALSE)</f>
        <v>46134</v>
      </c>
      <c r="AK17" s="53" t="str">
        <f>VLOOKUP(AD17,review3,8,FALSE)</f>
        <v>Wed</v>
      </c>
      <c r="AL17" s="47">
        <f>VLOOKUP(AD17,review3,4,FALSE)</f>
        <v>3</v>
      </c>
      <c r="AM17" s="47" t="str">
        <f>VLOOKUP(AD17,review3,9,FALSE)</f>
        <v>NVH.306</v>
      </c>
      <c r="AN17" s="55"/>
      <c r="AO17" t="s">
        <v>688</v>
      </c>
      <c r="AP17" s="56">
        <v>303</v>
      </c>
      <c r="AQ17" s="47" t="str">
        <f>VLOOKUP(AP17,defense1_list,7,FALSE)</f>
        <v>DucDNM2_NgocTT4_HoangNT20_TriPT9_LongT5</v>
      </c>
      <c r="AR17" s="57">
        <f>COUNTIF(defense1_forgroup_code,AP17)</f>
        <v>7</v>
      </c>
      <c r="AS17" s="4" t="b">
        <f>ISNUMBER(SEARCH(H17,AQ17))</f>
        <v>0</v>
      </c>
      <c r="AT17" s="4" t="b">
        <f>AND(NOT(ISBLANK(I17)),(ISNUMBER(SEARCH(I17,AQ17))))</f>
        <v>0</v>
      </c>
      <c r="AU17" s="4" t="b">
        <f>(IFERROR(SEARCH(AF17,AQ17),0)+IFERROR(SEARCH(AG17,AQ17),0))&gt;0</f>
        <v>1</v>
      </c>
      <c r="AV17" s="47"/>
      <c r="AW17" s="47" t="s">
        <v>689</v>
      </c>
      <c r="AX17" s="47"/>
      <c r="AY17" s="47"/>
      <c r="AZ17" s="127">
        <v>102</v>
      </c>
      <c r="BA17" s="47" t="str">
        <f>VLOOKUP(AZ17,defense2_list,7,FALSE)</f>
        <v>DucDNM2_VanTTN2_HoangNT20_NguHCV_LongT5</v>
      </c>
      <c r="BB17" s="57">
        <f>COUNTIF(defense2_forgroup_code,AZ17)</f>
        <v>9</v>
      </c>
      <c r="BC17" s="4" t="b">
        <f>ISNUMBER(SEARCH(H17,BA17))</f>
        <v>0</v>
      </c>
      <c r="BD17" s="4" t="b">
        <f>AND(NOT(ISBLANK(I17)),(ISNUMBER(SEARCH(I17,AZ17))))</f>
        <v>0</v>
      </c>
      <c r="BE17" s="4"/>
      <c r="BF17" s="47"/>
      <c r="BG17" s="47"/>
    </row>
    <row r="18" spans="1:59" ht="29.5" thickBot="1" x14ac:dyDescent="0.4">
      <c r="A18" s="47">
        <v>21</v>
      </c>
      <c r="B18" s="48"/>
      <c r="C18" s="49" t="s">
        <v>111</v>
      </c>
      <c r="D18" s="58" t="s">
        <v>112</v>
      </c>
      <c r="E18" s="14" t="s">
        <v>113</v>
      </c>
      <c r="F18" s="14" t="s">
        <v>114</v>
      </c>
      <c r="G18" s="49" t="s">
        <v>600</v>
      </c>
      <c r="H18" s="50" t="s">
        <v>646</v>
      </c>
      <c r="I18" s="51" t="s">
        <v>12</v>
      </c>
      <c r="J18" s="6">
        <v>4223</v>
      </c>
      <c r="K18" s="6">
        <f>COUNTIF(review1_code,J18)</f>
        <v>3</v>
      </c>
      <c r="L18" s="4" t="str">
        <f>VLOOKUP(J18,review1,10,FALSE)</f>
        <v>PhuongLHK</v>
      </c>
      <c r="M18" s="4" t="str">
        <f>VLOOKUP(J18,review1,11,FALSE)</f>
        <v>MinhTTH5</v>
      </c>
      <c r="N18" s="47" t="b">
        <f>OR(EXACT(L18,H18),EXACT(L18,I18),EXACT(M18,H18),EXACT(M18,I18))</f>
        <v>0</v>
      </c>
      <c r="O18" s="52">
        <f>VLOOKUP(J18,review1,7,FALSE)</f>
        <v>46049</v>
      </c>
      <c r="P18" s="52" t="str">
        <f>VLOOKUP(J18,review1,8,FALSE)</f>
        <v>Tue</v>
      </c>
      <c r="Q18" s="47">
        <f>INT(MOD(J18/10,10))</f>
        <v>2</v>
      </c>
      <c r="R18" s="47" t="str">
        <f>VLOOKUP(J18,review1,9,FALSE)</f>
        <v>NVH G.01</v>
      </c>
      <c r="S18" s="47">
        <f>J18+4000</f>
        <v>8223</v>
      </c>
      <c r="T18" s="6">
        <v>8223</v>
      </c>
      <c r="U18" s="6">
        <f>COUNTIF(review2_code,T18)</f>
        <v>3</v>
      </c>
      <c r="V18" s="4" t="str">
        <f>VLOOKUP(T18,review2,10,FALSE)</f>
        <v>PhuongLHK</v>
      </c>
      <c r="W18" s="4" t="str">
        <f>VLOOKUP(T18,review2,11,FALSE)</f>
        <v>MinhTTH5</v>
      </c>
      <c r="X18" s="4" t="b">
        <f>OR(EXACT(V18,H18),EXACT(V18,I18),EXACT(W18,H18),EXACT(W18,I18))</f>
        <v>0</v>
      </c>
      <c r="Y18" s="53">
        <f>VLOOKUP(T18,review2,7,FALSE)</f>
        <v>46090</v>
      </c>
      <c r="Z18" s="53" t="str">
        <f>VLOOKUP(T18,review2,8,FALSE)</f>
        <v>Mon</v>
      </c>
      <c r="AA18" s="47">
        <f>INT(MOD(T18/10,10))</f>
        <v>2</v>
      </c>
      <c r="AB18" s="47" t="e">
        <f>VLOOKUP(J18,review2,9,FALSE)</f>
        <v>#N/A</v>
      </c>
      <c r="AC18" s="47"/>
      <c r="AD18" s="6">
        <v>14542</v>
      </c>
      <c r="AE18" s="6">
        <f>COUNTIF(review3_code,AD18)</f>
        <v>3</v>
      </c>
      <c r="AF18" s="54" t="str">
        <f>VLOOKUP(AD18,review3,10,FALSE)</f>
        <v>HuongNTC2</v>
      </c>
      <c r="AG18" s="54" t="str">
        <f>VLOOKUP(AD18,review3,11,FALSE)</f>
        <v>HoangNT20</v>
      </c>
      <c r="AH18" s="47" t="b">
        <f>OR(EXACT(AF18,H18),EXACT(AF18,I18),EXACT(AG18,H18),EXACT(AG18,I18))</f>
        <v>0</v>
      </c>
      <c r="AI18" s="47" t="b">
        <f>OR(EXACT(AF18,V18),EXACT(AF18,W18),EXACT(AG18,V18),EXACT(AG18,W18))</f>
        <v>0</v>
      </c>
      <c r="AJ18" s="53">
        <f>VLOOKUP(AD18,review3,7,FALSE)</f>
        <v>46135</v>
      </c>
      <c r="AK18" s="53" t="str">
        <f>VLOOKUP(AD18,review3,8,FALSE)</f>
        <v>Thu</v>
      </c>
      <c r="AL18" s="47">
        <f>VLOOKUP(AD18,review3,4,FALSE)</f>
        <v>4</v>
      </c>
      <c r="AM18" s="47" t="str">
        <f>VLOOKUP(AD18,review3,9,FALSE)</f>
        <v>NVH.414</v>
      </c>
      <c r="AN18" s="55"/>
      <c r="AO18" t="s">
        <v>687</v>
      </c>
      <c r="AP18" s="122"/>
      <c r="AQ18" s="47" t="e">
        <f>VLOOKUP(AP18,defense1_list,7,FALSE)</f>
        <v>#N/A</v>
      </c>
      <c r="AR18" s="57">
        <f>COUNTIF(defense1_forgroup_code,AP18)</f>
        <v>0</v>
      </c>
      <c r="AS18" s="4" t="b">
        <f>ISNUMBER(SEARCH(H18,AQ18))</f>
        <v>0</v>
      </c>
      <c r="AT18" s="4" t="b">
        <f>AND(NOT(ISBLANK(I18)),(ISNUMBER(SEARCH(I18,AQ18))))</f>
        <v>0</v>
      </c>
      <c r="AU18" s="4"/>
      <c r="AV18" s="47"/>
      <c r="AW18" s="47" t="s">
        <v>687</v>
      </c>
      <c r="AX18" s="47"/>
      <c r="AY18" s="47"/>
      <c r="AZ18" s="127">
        <v>102</v>
      </c>
      <c r="BA18" s="47" t="str">
        <f>VLOOKUP(AZ18,defense2_list,7,FALSE)</f>
        <v>DucDNM2_VanTTN2_HoangNT20_NguHCV_LongT5</v>
      </c>
      <c r="BB18" s="57">
        <f>COUNTIF(defense2_forgroup_code,AZ18)</f>
        <v>9</v>
      </c>
      <c r="BC18" s="4" t="b">
        <f>ISNUMBER(SEARCH(H18,BA18))</f>
        <v>0</v>
      </c>
      <c r="BD18" s="4" t="b">
        <f>AND(NOT(ISBLANK(I18)),(ISNUMBER(SEARCH(I18,AZ18))))</f>
        <v>0</v>
      </c>
      <c r="BE18" s="4"/>
      <c r="BF18" s="47"/>
      <c r="BG18" s="47"/>
    </row>
    <row r="19" spans="1:59" ht="29.5" thickBot="1" x14ac:dyDescent="0.4">
      <c r="A19" s="47">
        <v>73</v>
      </c>
      <c r="B19" s="48"/>
      <c r="C19" s="49" t="s">
        <v>198</v>
      </c>
      <c r="D19" s="58" t="s">
        <v>199</v>
      </c>
      <c r="E19" s="14" t="s">
        <v>200</v>
      </c>
      <c r="F19" s="14" t="s">
        <v>201</v>
      </c>
      <c r="G19" s="49" t="s">
        <v>604</v>
      </c>
      <c r="H19" s="50" t="s">
        <v>643</v>
      </c>
      <c r="I19" s="51"/>
      <c r="J19" s="6">
        <v>3652</v>
      </c>
      <c r="K19" s="6">
        <f>COUNTIF(review1_code,J19)</f>
        <v>3</v>
      </c>
      <c r="L19" s="4" t="str">
        <f>VLOOKUP(J19,review1,10,FALSE)</f>
        <v>PhuongLHK</v>
      </c>
      <c r="M19" s="4" t="str">
        <f>VLOOKUP(J19,review1,11,FALSE)</f>
        <v>TamPM</v>
      </c>
      <c r="N19" s="47" t="b">
        <f>OR(EXACT(L19,H19),EXACT(L19,I19),EXACT(M19,H19),EXACT(M19,I19))</f>
        <v>0</v>
      </c>
      <c r="O19" s="52">
        <f>VLOOKUP(J19,review1,7,FALSE)</f>
        <v>46046</v>
      </c>
      <c r="P19" s="52" t="str">
        <f>VLOOKUP(J19,review1,8,FALSE)</f>
        <v>Sat</v>
      </c>
      <c r="Q19" s="47">
        <f>INT(MOD(J19/10,10))</f>
        <v>5</v>
      </c>
      <c r="R19" s="47" t="str">
        <f>VLOOKUP(J19,review1,9,FALSE)</f>
        <v>NVH G.01</v>
      </c>
      <c r="S19" s="47">
        <f>J19+4000</f>
        <v>7652</v>
      </c>
      <c r="T19" s="6">
        <v>7652</v>
      </c>
      <c r="U19" s="6">
        <f>COUNTIF(review2_code,T19)</f>
        <v>3</v>
      </c>
      <c r="V19" s="4" t="str">
        <f>VLOOKUP(T19,review2,10,FALSE)</f>
        <v>PhuongLHK</v>
      </c>
      <c r="W19" s="4" t="str">
        <f>VLOOKUP(T19,review2,11,FALSE)</f>
        <v>TamPM</v>
      </c>
      <c r="X19" s="4" t="b">
        <f>OR(EXACT(V19,H19),EXACT(V19,I19),EXACT(W19,H19),EXACT(W19,I19))</f>
        <v>0</v>
      </c>
      <c r="Y19" s="53">
        <f>VLOOKUP(T19,review2,7,FALSE)</f>
        <v>46087</v>
      </c>
      <c r="Z19" s="53" t="str">
        <f>VLOOKUP(T19,review2,8,FALSE)</f>
        <v>Fri</v>
      </c>
      <c r="AA19" s="47">
        <f>INT(MOD(T19/10,10))</f>
        <v>5</v>
      </c>
      <c r="AB19" s="47" t="e">
        <f>VLOOKUP(J19,review2,9,FALSE)</f>
        <v>#N/A</v>
      </c>
      <c r="AC19" s="47"/>
      <c r="AD19" s="6">
        <v>14521</v>
      </c>
      <c r="AE19" s="6">
        <f>COUNTIF(review3_code,AD19)</f>
        <v>3</v>
      </c>
      <c r="AF19" s="54" t="str">
        <f>VLOOKUP(AD19,review3,10,FALSE)</f>
        <v>HuongNTC2</v>
      </c>
      <c r="AG19" s="54" t="str">
        <f>VLOOKUP(AD19,review3,11,FALSE)</f>
        <v>DucDNM2</v>
      </c>
      <c r="AH19" s="47" t="b">
        <f>OR(EXACT(AF19,H19),EXACT(AF19,I19),EXACT(AG19,H19),EXACT(AG19,I19))</f>
        <v>0</v>
      </c>
      <c r="AI19" s="47" t="b">
        <f>OR(EXACT(AF19,V19),EXACT(AF19,W19),EXACT(AG19,V19),EXACT(AG19,W19))</f>
        <v>0</v>
      </c>
      <c r="AJ19" s="53">
        <f>VLOOKUP(AD19,review3,7,FALSE)</f>
        <v>46135</v>
      </c>
      <c r="AK19" s="53" t="str">
        <f>VLOOKUP(AD19,review3,8,FALSE)</f>
        <v>Thu</v>
      </c>
      <c r="AL19" s="47">
        <f>VLOOKUP(AD19,review3,4,FALSE)</f>
        <v>2</v>
      </c>
      <c r="AM19" s="47" t="str">
        <f>VLOOKUP(AD19,review3,9,FALSE)</f>
        <v>NVH.414</v>
      </c>
      <c r="AN19" s="55"/>
      <c r="AO19" t="s">
        <v>687</v>
      </c>
      <c r="AP19" s="56"/>
      <c r="AQ19" s="47" t="e">
        <f>VLOOKUP(AP19,defense1_list,7,FALSE)</f>
        <v>#N/A</v>
      </c>
      <c r="AR19" s="57">
        <f>COUNTIF(defense1_forgroup_code,AP19)</f>
        <v>0</v>
      </c>
      <c r="AS19" s="4" t="b">
        <f>ISNUMBER(SEARCH(H19,AQ19))</f>
        <v>0</v>
      </c>
      <c r="AT19" s="4" t="b">
        <f>AND(NOT(ISBLANK(I19)),(ISNUMBER(SEARCH(I19,AQ19))))</f>
        <v>0</v>
      </c>
      <c r="AU19" s="4"/>
      <c r="AV19" s="47"/>
      <c r="AW19" s="47" t="s">
        <v>687</v>
      </c>
      <c r="AX19" s="47"/>
      <c r="AY19" s="47"/>
      <c r="AZ19" s="127">
        <v>102</v>
      </c>
      <c r="BA19" s="47" t="str">
        <f>VLOOKUP(AZ19,defense2_list,7,FALSE)</f>
        <v>DucDNM2_VanTTN2_HoangNT20_NguHCV_LongT5</v>
      </c>
      <c r="BB19" s="57">
        <f>COUNTIF(defense2_forgroup_code,AZ19)</f>
        <v>9</v>
      </c>
      <c r="BC19" s="4" t="b">
        <f>ISNUMBER(SEARCH(H19,BA19))</f>
        <v>0</v>
      </c>
      <c r="BD19" s="4" t="b">
        <f>AND(NOT(ISBLANK(I19)),(ISNUMBER(SEARCH(I19,AZ19))))</f>
        <v>0</v>
      </c>
      <c r="BE19" s="4"/>
      <c r="BF19" s="47"/>
      <c r="BG19" s="47"/>
    </row>
    <row r="20" spans="1:59" ht="29.5" thickBot="1" x14ac:dyDescent="0.4">
      <c r="A20" s="47">
        <v>93</v>
      </c>
      <c r="B20" s="48"/>
      <c r="C20" s="49" t="s">
        <v>269</v>
      </c>
      <c r="D20" s="58" t="s">
        <v>270</v>
      </c>
      <c r="E20" s="14" t="s">
        <v>271</v>
      </c>
      <c r="F20" s="14" t="s">
        <v>272</v>
      </c>
      <c r="G20" s="49" t="s">
        <v>526</v>
      </c>
      <c r="H20" s="50" t="s">
        <v>15</v>
      </c>
      <c r="I20" s="51"/>
      <c r="J20" s="6">
        <v>4121</v>
      </c>
      <c r="K20" s="6">
        <f>COUNTIF(review1_code,J20)</f>
        <v>3</v>
      </c>
      <c r="L20" s="4" t="str">
        <f>VLOOKUP(J20,review1,10,FALSE)</f>
        <v>TaiNT51</v>
      </c>
      <c r="M20" s="4" t="str">
        <f>VLOOKUP(J20,review1,11,FALSE)</f>
        <v>SangNM18</v>
      </c>
      <c r="N20" s="47" t="b">
        <f>OR(EXACT(L20,H20),EXACT(L20,I20),EXACT(M20,H20),EXACT(M20,I20))</f>
        <v>0</v>
      </c>
      <c r="O20" s="52">
        <f>VLOOKUP(J20,review1,7,FALSE)</f>
        <v>46048</v>
      </c>
      <c r="P20" s="52" t="str">
        <f>VLOOKUP(J20,review1,8,FALSE)</f>
        <v>Mon</v>
      </c>
      <c r="Q20" s="47">
        <f>INT(MOD(J20/10,10))</f>
        <v>2</v>
      </c>
      <c r="R20" s="47" t="str">
        <f>VLOOKUP(J20,review1,9,FALSE)</f>
        <v>NVH G.01</v>
      </c>
      <c r="S20" s="47">
        <f>J20+4000</f>
        <v>8121</v>
      </c>
      <c r="T20" s="6">
        <v>8121</v>
      </c>
      <c r="U20" s="6">
        <f>COUNTIF(review2_code,T20)</f>
        <v>3</v>
      </c>
      <c r="V20" s="4" t="str">
        <f>VLOOKUP(T20,review2,10,FALSE)</f>
        <v>TaiNT51</v>
      </c>
      <c r="W20" s="4" t="str">
        <f>VLOOKUP(T20,review2,11,FALSE)</f>
        <v>SangNM18</v>
      </c>
      <c r="X20" s="4" t="b">
        <f>OR(EXACT(V20,H20),EXACT(V20,I20),EXACT(W20,H20),EXACT(W20,I20))</f>
        <v>0</v>
      </c>
      <c r="Y20" s="53">
        <f>VLOOKUP(T20,review2,7,FALSE)</f>
        <v>46089</v>
      </c>
      <c r="Z20" s="53" t="str">
        <f>VLOOKUP(T20,review2,8,FALSE)</f>
        <v>Sun</v>
      </c>
      <c r="AA20" s="47">
        <f>INT(MOD(T20/10,10))</f>
        <v>2</v>
      </c>
      <c r="AB20" s="47" t="e">
        <f>VLOOKUP(J20,review2,9,FALSE)</f>
        <v>#N/A</v>
      </c>
      <c r="AC20" s="47"/>
      <c r="AD20" s="6">
        <v>14251</v>
      </c>
      <c r="AE20" s="6">
        <f>COUNTIF(review3_code,AD20)</f>
        <v>3</v>
      </c>
      <c r="AF20" s="54" t="str">
        <f>VLOOKUP(AD20,review3,10,FALSE)</f>
        <v>PhuongLHK</v>
      </c>
      <c r="AG20" s="54" t="str">
        <f>VLOOKUP(AD20,review3,11,FALSE)</f>
        <v>NhanDT35</v>
      </c>
      <c r="AH20" s="47" t="b">
        <f>OR(EXACT(AF20,H20),EXACT(AF20,I20),EXACT(AG20,H20),EXACT(AG20,I20))</f>
        <v>0</v>
      </c>
      <c r="AI20" s="47" t="b">
        <f>OR(EXACT(AF20,V20),EXACT(AF20,W20),EXACT(AG20,V20),EXACT(AG20,W20))</f>
        <v>0</v>
      </c>
      <c r="AJ20" s="53">
        <f>VLOOKUP(AD20,review3,7,FALSE)</f>
        <v>46132</v>
      </c>
      <c r="AK20" s="53" t="str">
        <f>VLOOKUP(AD20,review3,8,FALSE)</f>
        <v>Mon</v>
      </c>
      <c r="AL20" s="47">
        <f>VLOOKUP(AD20,review3,4,FALSE)</f>
        <v>5</v>
      </c>
      <c r="AM20" s="47" t="str">
        <f>VLOOKUP(AD20,review3,9,FALSE)</f>
        <v>NVH.301</v>
      </c>
      <c r="AN20" s="55"/>
      <c r="AO20" t="s">
        <v>687</v>
      </c>
      <c r="AP20" s="122"/>
      <c r="AQ20" s="47" t="e">
        <f>VLOOKUP(AP20,defense1_list,7,FALSE)</f>
        <v>#N/A</v>
      </c>
      <c r="AR20" s="57">
        <f>COUNTIF(defense1_forgroup_code,AP20)</f>
        <v>0</v>
      </c>
      <c r="AS20" s="4" t="b">
        <f>ISNUMBER(SEARCH(H20,AQ20))</f>
        <v>0</v>
      </c>
      <c r="AT20" s="4" t="b">
        <f>AND(NOT(ISBLANK(I20)),(ISNUMBER(SEARCH(I20,AQ20))))</f>
        <v>0</v>
      </c>
      <c r="AU20" s="4"/>
      <c r="AV20" s="47"/>
      <c r="AW20" s="47" t="s">
        <v>687</v>
      </c>
      <c r="AX20" s="47"/>
      <c r="AY20" s="47"/>
      <c r="AZ20" s="127">
        <v>102</v>
      </c>
      <c r="BA20" s="47" t="str">
        <f>VLOOKUP(AZ20,defense2_list,7,FALSE)</f>
        <v>DucDNM2_VanTTN2_HoangNT20_NguHCV_LongT5</v>
      </c>
      <c r="BB20" s="57">
        <f>COUNTIF(defense2_forgroup_code,AZ20)</f>
        <v>9</v>
      </c>
      <c r="BC20" s="4" t="b">
        <f>ISNUMBER(SEARCH(H20,BA20))</f>
        <v>0</v>
      </c>
      <c r="BD20" s="4" t="b">
        <f>AND(NOT(ISBLANK(I20)),(ISNUMBER(SEARCH(I20,AZ20))))</f>
        <v>0</v>
      </c>
      <c r="BE20" s="4"/>
      <c r="BF20" s="47"/>
      <c r="BG20" s="47"/>
    </row>
    <row r="21" spans="1:59" ht="15" thickBot="1" x14ac:dyDescent="0.4">
      <c r="A21" s="47">
        <v>35</v>
      </c>
      <c r="B21" s="48"/>
      <c r="C21" s="49" t="s">
        <v>293</v>
      </c>
      <c r="D21" s="58" t="s">
        <v>294</v>
      </c>
      <c r="E21" s="14" t="s">
        <v>295</v>
      </c>
      <c r="F21" s="14" t="s">
        <v>296</v>
      </c>
      <c r="G21" s="49" t="s">
        <v>585</v>
      </c>
      <c r="H21" s="68" t="s">
        <v>644</v>
      </c>
      <c r="I21" s="51" t="s">
        <v>18</v>
      </c>
      <c r="J21" s="6">
        <v>4232</v>
      </c>
      <c r="K21" s="6">
        <f>COUNTIF(review1_code,J21)</f>
        <v>3</v>
      </c>
      <c r="L21" s="4" t="str">
        <f>VLOOKUP(J21,review1,10,FALSE)</f>
        <v>TaiNT51</v>
      </c>
      <c r="M21" s="4" t="str">
        <f>VLOOKUP(J21,review1,11,FALSE)</f>
        <v>LongT5</v>
      </c>
      <c r="N21" s="47" t="b">
        <f>OR(EXACT(L21,H21),EXACT(L21,I21),EXACT(M21,H21),EXACT(M21,I21))</f>
        <v>0</v>
      </c>
      <c r="O21" s="52">
        <f>VLOOKUP(J21,review1,7,FALSE)</f>
        <v>46049</v>
      </c>
      <c r="P21" s="52" t="str">
        <f>VLOOKUP(J21,review1,8,FALSE)</f>
        <v>Tue</v>
      </c>
      <c r="Q21" s="47">
        <f>INT(MOD(J21/10,10))</f>
        <v>3</v>
      </c>
      <c r="R21" s="47" t="str">
        <f>VLOOKUP(J21,review1,9,FALSE)</f>
        <v>NVH G.02</v>
      </c>
      <c r="S21" s="47">
        <f>J21+4000</f>
        <v>8232</v>
      </c>
      <c r="T21" s="6">
        <v>8232</v>
      </c>
      <c r="U21" s="6">
        <f>COUNTIF(review2_code,T21)</f>
        <v>3</v>
      </c>
      <c r="V21" s="4" t="str">
        <f>VLOOKUP(T21,review2,10,FALSE)</f>
        <v>TaiNT51</v>
      </c>
      <c r="W21" s="4" t="str">
        <f>VLOOKUP(T21,review2,11,FALSE)</f>
        <v>LongT5</v>
      </c>
      <c r="X21" s="4" t="b">
        <f>OR(EXACT(V21,H21),EXACT(V21,I21),EXACT(W21,H21),EXACT(W21,I21))</f>
        <v>0</v>
      </c>
      <c r="Y21" s="53">
        <f>VLOOKUP(T21,review2,7,FALSE)</f>
        <v>46090</v>
      </c>
      <c r="Z21" s="53" t="str">
        <f>VLOOKUP(T21,review2,8,FALSE)</f>
        <v>Mon</v>
      </c>
      <c r="AA21" s="47">
        <f>INT(MOD(T21/10,10))</f>
        <v>3</v>
      </c>
      <c r="AB21" s="47" t="e">
        <f>VLOOKUP(J21,review2,9,FALSE)</f>
        <v>#N/A</v>
      </c>
      <c r="AC21" s="47"/>
      <c r="AD21" s="6">
        <v>14612</v>
      </c>
      <c r="AE21" s="6">
        <f>COUNTIF(review3_code,AD21)</f>
        <v>3</v>
      </c>
      <c r="AF21" s="54" t="str">
        <f>VLOOKUP(AD21,review3,10,FALSE)</f>
        <v>DucDNM2</v>
      </c>
      <c r="AG21" s="54" t="str">
        <f>VLOOKUP(AD21,review3,11,FALSE)</f>
        <v>MinhTTH5</v>
      </c>
      <c r="AH21" s="47" t="b">
        <f>OR(EXACT(AF21,H21),EXACT(AF21,I21),EXACT(AG21,H21),EXACT(AG21,I21))</f>
        <v>0</v>
      </c>
      <c r="AI21" s="47" t="b">
        <f>OR(EXACT(AF21,V21),EXACT(AF21,W21),EXACT(AG21,V21),EXACT(AG21,W21))</f>
        <v>0</v>
      </c>
      <c r="AJ21" s="53">
        <f>VLOOKUP(AD21,review3,7,FALSE)</f>
        <v>46136</v>
      </c>
      <c r="AK21" s="53" t="str">
        <f>VLOOKUP(AD21,review3,8,FALSE)</f>
        <v>Fri</v>
      </c>
      <c r="AL21" s="47">
        <f>VLOOKUP(AD21,review3,4,FALSE)</f>
        <v>1</v>
      </c>
      <c r="AM21" s="47" t="str">
        <f>VLOOKUP(AD21,review3,9,FALSE)</f>
        <v>NVH.301</v>
      </c>
      <c r="AN21" s="55"/>
      <c r="AO21" t="s">
        <v>688</v>
      </c>
      <c r="AP21" s="122">
        <v>403</v>
      </c>
      <c r="AQ21" s="47" t="str">
        <f>VLOOKUP(AP21,defense1_list,7,FALSE)</f>
        <v>SuTV_NgocTTM4_HoangNT20_LongT5_DucDNM2</v>
      </c>
      <c r="AR21" s="57">
        <f>COUNTIF(defense1_forgroup_code,AP21)</f>
        <v>7</v>
      </c>
      <c r="AS21" s="4" t="b">
        <f>ISNUMBER(SEARCH(H21,AQ21))</f>
        <v>0</v>
      </c>
      <c r="AT21" s="4" t="b">
        <f>AND(NOT(ISBLANK(I21)),(ISNUMBER(SEARCH(I21,AQ21))))</f>
        <v>0</v>
      </c>
      <c r="AU21" s="4" t="b">
        <f>(IFERROR(SEARCH(AF21,AQ21),0)+IFERROR(SEARCH(AG21,AQ21),0))&gt;0</f>
        <v>1</v>
      </c>
      <c r="AV21" s="47"/>
      <c r="AW21" s="47" t="s">
        <v>689</v>
      </c>
      <c r="AX21" s="47"/>
      <c r="AY21" s="47"/>
      <c r="AZ21" s="129">
        <v>102</v>
      </c>
      <c r="BA21" s="47" t="str">
        <f>VLOOKUP(AZ21,defense2_list,7,FALSE)</f>
        <v>DucDNM2_VanTTN2_HoangNT20_NguHCV_LongT5</v>
      </c>
      <c r="BB21" s="57">
        <f>COUNTIF(defense2_forgroup_code,AZ21)</f>
        <v>9</v>
      </c>
      <c r="BC21" s="4" t="b">
        <f>ISNUMBER(SEARCH(H21,BA21))</f>
        <v>0</v>
      </c>
      <c r="BD21" s="4" t="b">
        <f>AND(NOT(ISBLANK(I21)),(ISNUMBER(SEARCH(I21,AZ21))))</f>
        <v>0</v>
      </c>
      <c r="BE21" s="4"/>
      <c r="BF21" s="47"/>
      <c r="BG21" s="47"/>
    </row>
    <row r="22" spans="1:59" ht="15" thickBot="1" x14ac:dyDescent="0.4">
      <c r="A22" s="47">
        <v>12</v>
      </c>
      <c r="B22" s="48"/>
      <c r="C22" s="49" t="s">
        <v>182</v>
      </c>
      <c r="D22" s="58" t="s">
        <v>183</v>
      </c>
      <c r="E22" s="14" t="s">
        <v>184</v>
      </c>
      <c r="F22" s="14" t="s">
        <v>185</v>
      </c>
      <c r="G22" s="49" t="s">
        <v>517</v>
      </c>
      <c r="H22" s="50" t="s">
        <v>32</v>
      </c>
      <c r="I22" s="51"/>
      <c r="J22" s="6">
        <v>3442</v>
      </c>
      <c r="K22" s="6">
        <f>COUNTIF(review1_code,J22)</f>
        <v>3</v>
      </c>
      <c r="L22" s="4" t="str">
        <f>VLOOKUP(J22,review1,10,FALSE)</f>
        <v>TaiNT51</v>
      </c>
      <c r="M22" s="4" t="str">
        <f>VLOOKUP(J22,review1,11,FALSE)</f>
        <v>NhanDT35</v>
      </c>
      <c r="N22" s="47" t="b">
        <f>OR(EXACT(L22,H22),EXACT(L22,I22),EXACT(M22,H22),EXACT(M22,I22))</f>
        <v>0</v>
      </c>
      <c r="O22" s="52">
        <f>VLOOKUP(J22,review1,7,FALSE)</f>
        <v>46044</v>
      </c>
      <c r="P22" s="52" t="str">
        <f>VLOOKUP(J22,review1,8,FALSE)</f>
        <v>Thu</v>
      </c>
      <c r="Q22" s="47">
        <f>INT(MOD(J22/10,10))</f>
        <v>4</v>
      </c>
      <c r="R22" s="47" t="str">
        <f>VLOOKUP(J22,review1,9,FALSE)</f>
        <v>NVH G.01</v>
      </c>
      <c r="S22" s="47">
        <f>J22+4000</f>
        <v>7442</v>
      </c>
      <c r="T22" s="6">
        <v>7442</v>
      </c>
      <c r="U22" s="6">
        <f>COUNTIF(review2_code,T22)</f>
        <v>3</v>
      </c>
      <c r="V22" s="4" t="str">
        <f>VLOOKUP(T22,review2,10,FALSE)</f>
        <v>TaiNT51</v>
      </c>
      <c r="W22" s="4" t="str">
        <f>VLOOKUP(T22,review2,11,FALSE)</f>
        <v>NhanDT35</v>
      </c>
      <c r="X22" s="4" t="b">
        <f>OR(EXACT(V22,H22),EXACT(V22,I22),EXACT(W22,H22),EXACT(W22,I22))</f>
        <v>0</v>
      </c>
      <c r="Y22" s="53">
        <f>VLOOKUP(T22,review2,7,FALSE)</f>
        <v>46085</v>
      </c>
      <c r="Z22" s="53" t="str">
        <f>VLOOKUP(T22,review2,8,FALSE)</f>
        <v>Wed</v>
      </c>
      <c r="AA22" s="47">
        <f>INT(MOD(T22/10,10))</f>
        <v>4</v>
      </c>
      <c r="AB22" s="47" t="e">
        <f>VLOOKUP(J22,review2,9,FALSE)</f>
        <v>#N/A</v>
      </c>
      <c r="AC22" s="47"/>
      <c r="AD22" s="6">
        <v>14313</v>
      </c>
      <c r="AE22" s="6">
        <f>COUNTIF(review3_code,AD22)</f>
        <v>3</v>
      </c>
      <c r="AF22" s="54" t="str">
        <f>VLOOKUP(AD22,review3,10,FALSE)</f>
        <v>DucDNM2</v>
      </c>
      <c r="AG22" s="54" t="str">
        <f>VLOOKUP(AD22,review3,11,FALSE)</f>
        <v>VuLNS</v>
      </c>
      <c r="AH22" s="47" t="b">
        <f>OR(EXACT(AF22,H22),EXACT(AF22,I22),EXACT(AG22,H22),EXACT(AG22,I22))</f>
        <v>0</v>
      </c>
      <c r="AI22" s="47" t="b">
        <f>OR(EXACT(AF22,V22),EXACT(AF22,W22),EXACT(AG22,V22),EXACT(AG22,W22))</f>
        <v>0</v>
      </c>
      <c r="AJ22" s="53">
        <f>VLOOKUP(AD22,review3,7,FALSE)</f>
        <v>46133</v>
      </c>
      <c r="AK22" s="53" t="str">
        <f>VLOOKUP(AD22,review3,8,FALSE)</f>
        <v>Tue</v>
      </c>
      <c r="AL22" s="47">
        <f>VLOOKUP(AD22,review3,4,FALSE)</f>
        <v>1</v>
      </c>
      <c r="AM22" s="47" t="str">
        <f>VLOOKUP(AD22,review3,9,FALSE)</f>
        <v>NVH.301</v>
      </c>
      <c r="AN22" s="55"/>
      <c r="AO22" t="s">
        <v>687</v>
      </c>
      <c r="AP22" s="122"/>
      <c r="AQ22" s="47" t="e">
        <f>VLOOKUP(AP22,defense1_list,7,FALSE)</f>
        <v>#N/A</v>
      </c>
      <c r="AR22" s="57">
        <f>COUNTIF(defense1_forgroup_code,AP22)</f>
        <v>0</v>
      </c>
      <c r="AS22" s="4" t="b">
        <f>ISNUMBER(SEARCH(H22,AQ22))</f>
        <v>0</v>
      </c>
      <c r="AT22" s="4" t="b">
        <f>AND(NOT(ISBLANK(I22)),(ISNUMBER(SEARCH(I22,AQ22))))</f>
        <v>0</v>
      </c>
      <c r="AU22" s="4"/>
      <c r="AV22" s="47"/>
      <c r="AW22" s="47" t="s">
        <v>687</v>
      </c>
      <c r="AX22" s="47"/>
      <c r="AY22" s="47"/>
      <c r="AZ22" s="127">
        <v>103</v>
      </c>
      <c r="BA22" s="47" t="str">
        <f>VLOOKUP(AZ22,defense2_list,7,FALSE)</f>
        <v>TaiNT51_QuynhTNN4_AnNDH2_MinhTTH5_VuLNS</v>
      </c>
      <c r="BB22" s="57">
        <f>COUNTIF(defense2_forgroup_code,AZ22)</f>
        <v>8</v>
      </c>
      <c r="BC22" s="4" t="b">
        <f>ISNUMBER(SEARCH(H22,BA22))</f>
        <v>0</v>
      </c>
      <c r="BD22" s="4" t="b">
        <f>AND(NOT(ISBLANK(I22)),(ISNUMBER(SEARCH(I22,AZ22))))</f>
        <v>0</v>
      </c>
      <c r="BE22" s="4"/>
      <c r="BF22" s="47"/>
      <c r="BG22" s="47"/>
    </row>
    <row r="23" spans="1:59" ht="15" thickBot="1" x14ac:dyDescent="0.4">
      <c r="A23" s="47">
        <v>44</v>
      </c>
      <c r="B23" s="48"/>
      <c r="C23" s="49" t="s">
        <v>317</v>
      </c>
      <c r="D23" s="58" t="s">
        <v>318</v>
      </c>
      <c r="E23" s="14" t="s">
        <v>319</v>
      </c>
      <c r="F23" s="14" t="s">
        <v>320</v>
      </c>
      <c r="G23" s="49" t="s">
        <v>615</v>
      </c>
      <c r="H23" s="50" t="s">
        <v>32</v>
      </c>
      <c r="I23" s="51" t="s">
        <v>18</v>
      </c>
      <c r="J23" s="6">
        <v>4332</v>
      </c>
      <c r="K23" s="6">
        <f>COUNTIF(review1_code,J23)</f>
        <v>3</v>
      </c>
      <c r="L23" s="4" t="str">
        <f>VLOOKUP(J23,review1,10,FALSE)</f>
        <v>NguyenTT15</v>
      </c>
      <c r="M23" s="4" t="str">
        <f>VLOOKUP(J23,review1,11,FALSE)</f>
        <v>SangNM18</v>
      </c>
      <c r="N23" s="47" t="b">
        <f>OR(EXACT(L23,H23),EXACT(L23,I23),EXACT(M23,H23),EXACT(M23,I23))</f>
        <v>0</v>
      </c>
      <c r="O23" s="52">
        <f>VLOOKUP(J23,review1,7,FALSE)</f>
        <v>46050</v>
      </c>
      <c r="P23" s="52" t="str">
        <f>VLOOKUP(J23,review1,8,FALSE)</f>
        <v>Wed</v>
      </c>
      <c r="Q23" s="47">
        <f>INT(MOD(J23/10,10))</f>
        <v>3</v>
      </c>
      <c r="R23" s="47" t="str">
        <f>VLOOKUP(J23,review1,9,FALSE)</f>
        <v>NVH G.02</v>
      </c>
      <c r="S23" s="47">
        <f>J23+4000</f>
        <v>8332</v>
      </c>
      <c r="T23" s="6">
        <v>8332</v>
      </c>
      <c r="U23" s="6">
        <f>COUNTIF(review2_code,T23)</f>
        <v>3</v>
      </c>
      <c r="V23" s="4" t="str">
        <f>VLOOKUP(T23,review2,10,FALSE)</f>
        <v>NguyenTT15</v>
      </c>
      <c r="W23" s="4" t="str">
        <f>VLOOKUP(T23,review2,11,FALSE)</f>
        <v>SangNM18</v>
      </c>
      <c r="X23" s="4" t="b">
        <f>OR(EXACT(V23,H23),EXACT(V23,I23),EXACT(W23,H23),EXACT(W23,I23))</f>
        <v>0</v>
      </c>
      <c r="Y23" s="53">
        <f>VLOOKUP(T23,review2,7,FALSE)</f>
        <v>46091</v>
      </c>
      <c r="Z23" s="53" t="str">
        <f>VLOOKUP(T23,review2,8,FALSE)</f>
        <v>Tue</v>
      </c>
      <c r="AA23" s="47">
        <f>INT(MOD(T23/10,10))</f>
        <v>3</v>
      </c>
      <c r="AB23" s="47" t="e">
        <f>VLOOKUP(J23,review2,9,FALSE)</f>
        <v>#N/A</v>
      </c>
      <c r="AC23" s="47"/>
      <c r="AD23" s="6">
        <v>14213</v>
      </c>
      <c r="AE23" s="6">
        <f>COUNTIF(review3_code,AD23)</f>
        <v>3</v>
      </c>
      <c r="AF23" s="54" t="str">
        <f>VLOOKUP(AD23,review3,10,FALSE)</f>
        <v>PhuongLHK</v>
      </c>
      <c r="AG23" s="54" t="str">
        <f>VLOOKUP(AD23,review3,11,FALSE)</f>
        <v>MinhTTH5</v>
      </c>
      <c r="AH23" s="47" t="b">
        <f>OR(EXACT(AF23,H23),EXACT(AF23,I23),EXACT(AG23,H23),EXACT(AG23,I23))</f>
        <v>0</v>
      </c>
      <c r="AI23" s="47" t="b">
        <f>OR(EXACT(AF23,V23),EXACT(AF23,W23),EXACT(AG23,V23),EXACT(AG23,W23))</f>
        <v>0</v>
      </c>
      <c r="AJ23" s="53">
        <f>VLOOKUP(AD23,review3,7,FALSE)</f>
        <v>46132</v>
      </c>
      <c r="AK23" s="53" t="str">
        <f>VLOOKUP(AD23,review3,8,FALSE)</f>
        <v>Mon</v>
      </c>
      <c r="AL23" s="47">
        <f>VLOOKUP(AD23,review3,4,FALSE)</f>
        <v>1</v>
      </c>
      <c r="AM23" s="47" t="str">
        <f>VLOOKUP(AD23,review3,9,FALSE)</f>
        <v>NVH.301</v>
      </c>
      <c r="AN23" s="55"/>
      <c r="AO23" t="s">
        <v>687</v>
      </c>
      <c r="AP23" s="122"/>
      <c r="AQ23" s="47" t="e">
        <f>VLOOKUP(AP23,defense1_list,7,FALSE)</f>
        <v>#N/A</v>
      </c>
      <c r="AR23" s="57">
        <f>COUNTIF(defense1_forgroup_code,AP23)</f>
        <v>0</v>
      </c>
      <c r="AS23" s="4" t="b">
        <f>ISNUMBER(SEARCH(H23,AQ23))</f>
        <v>0</v>
      </c>
      <c r="AT23" s="4" t="b">
        <f>AND(NOT(ISBLANK(I23)),(ISNUMBER(SEARCH(I23,AQ23))))</f>
        <v>0</v>
      </c>
      <c r="AU23" s="4"/>
      <c r="AV23" s="47"/>
      <c r="AW23" s="47" t="s">
        <v>687</v>
      </c>
      <c r="AX23" s="47"/>
      <c r="AY23" s="47"/>
      <c r="AZ23" s="127">
        <v>103</v>
      </c>
      <c r="BA23" s="47" t="str">
        <f>VLOOKUP(AZ23,defense2_list,7,FALSE)</f>
        <v>TaiNT51_QuynhTNN4_AnNDH2_MinhTTH5_VuLNS</v>
      </c>
      <c r="BB23" s="57">
        <f>COUNTIF(defense2_forgroup_code,AZ23)</f>
        <v>8</v>
      </c>
      <c r="BC23" s="4" t="b">
        <f>ISNUMBER(SEARCH(H23,BA23))</f>
        <v>0</v>
      </c>
      <c r="BD23" s="4" t="b">
        <f>AND(NOT(ISBLANK(I23)),(ISNUMBER(SEARCH(I23,AZ23))))</f>
        <v>0</v>
      </c>
      <c r="BE23" s="4"/>
      <c r="BF23" s="47"/>
      <c r="BG23" s="47"/>
    </row>
    <row r="24" spans="1:59" ht="15" thickBot="1" x14ac:dyDescent="0.4">
      <c r="A24" s="47">
        <v>30</v>
      </c>
      <c r="B24" s="48"/>
      <c r="C24" s="49" t="s">
        <v>372</v>
      </c>
      <c r="D24" s="58" t="s">
        <v>373</v>
      </c>
      <c r="E24" s="14" t="s">
        <v>374</v>
      </c>
      <c r="F24" s="14" t="s">
        <v>375</v>
      </c>
      <c r="G24" s="49" t="s">
        <v>84</v>
      </c>
      <c r="H24" s="50" t="s">
        <v>85</v>
      </c>
      <c r="I24" s="51"/>
      <c r="J24" s="6">
        <v>3431</v>
      </c>
      <c r="K24" s="6">
        <f>COUNTIF(review1_code,J24)</f>
        <v>3</v>
      </c>
      <c r="L24" s="74" t="str">
        <f>VLOOKUP(J24,review1,10,FALSE)</f>
        <v>DucDNM2</v>
      </c>
      <c r="M24" s="74" t="str">
        <f>VLOOKUP(J24,review1,11,FALSE)</f>
        <v>VanTTN2</v>
      </c>
      <c r="N24" s="47" t="b">
        <f>OR(EXACT(L24,H24),EXACT(L24,I24),EXACT(M24,H24),EXACT(M24,I24))</f>
        <v>0</v>
      </c>
      <c r="O24" s="52">
        <f>VLOOKUP(J24,review1,7,FALSE)</f>
        <v>46044</v>
      </c>
      <c r="P24" s="52" t="str">
        <f>VLOOKUP(J24,review1,8,FALSE)</f>
        <v>Thu</v>
      </c>
      <c r="Q24" s="47">
        <f>INT(MOD(J24/10,10))</f>
        <v>3</v>
      </c>
      <c r="R24" s="47" t="str">
        <f>VLOOKUP(J24,review1,9,FALSE)</f>
        <v>LB21 (Thư viên Campus)</v>
      </c>
      <c r="S24" s="47">
        <f>J24+4000</f>
        <v>7431</v>
      </c>
      <c r="T24" s="6">
        <v>7431</v>
      </c>
      <c r="U24" s="6">
        <f>COUNTIF(review2_code,T24)</f>
        <v>3</v>
      </c>
      <c r="V24" s="4" t="str">
        <f>VLOOKUP(T24,review2,10,FALSE)</f>
        <v>DucDNM2</v>
      </c>
      <c r="W24" s="4" t="str">
        <f>VLOOKUP(T24,review2,11,FALSE)</f>
        <v>VanTTN2</v>
      </c>
      <c r="X24" s="4" t="b">
        <f>OR(EXACT(V24,H24),EXACT(V24,I24),EXACT(W24,H24),EXACT(W24,I24))</f>
        <v>0</v>
      </c>
      <c r="Y24" s="53">
        <f>VLOOKUP(T24,review2,7,FALSE)</f>
        <v>46085</v>
      </c>
      <c r="Z24" s="53" t="str">
        <f>VLOOKUP(T24,review2,8,FALSE)</f>
        <v>Wed</v>
      </c>
      <c r="AA24" s="47">
        <f>INT(MOD(T24/10,10))</f>
        <v>3</v>
      </c>
      <c r="AB24" s="47" t="e">
        <f>VLOOKUP(J24,review2,9,FALSE)</f>
        <v>#N/A</v>
      </c>
      <c r="AC24" s="47"/>
      <c r="AD24" s="6">
        <v>14512</v>
      </c>
      <c r="AE24" s="6">
        <f>COUNTIF(review3_code,AD24)</f>
        <v>3</v>
      </c>
      <c r="AF24" s="54" t="str">
        <f>VLOOKUP(AD24,review3,10,FALSE)</f>
        <v>TaiNT51</v>
      </c>
      <c r="AG24" s="54" t="str">
        <f>VLOOKUP(AD24,review3,11,FALSE)</f>
        <v>PhuongLHK</v>
      </c>
      <c r="AH24" s="47" t="b">
        <f>OR(EXACT(AF24,H24),EXACT(AF24,I24),EXACT(AG24,H24),EXACT(AG24,I24))</f>
        <v>0</v>
      </c>
      <c r="AI24" s="47" t="b">
        <f>OR(EXACT(AF24,V24),EXACT(AF24,W24),EXACT(AG24,V24),EXACT(AG24,W24))</f>
        <v>0</v>
      </c>
      <c r="AJ24" s="53">
        <f>VLOOKUP(AD24,review3,7,FALSE)</f>
        <v>46135</v>
      </c>
      <c r="AK24" s="53" t="str">
        <f>VLOOKUP(AD24,review3,8,FALSE)</f>
        <v>Thu</v>
      </c>
      <c r="AL24" s="47">
        <f>VLOOKUP(AD24,review3,4,FALSE)</f>
        <v>1</v>
      </c>
      <c r="AM24" s="47" t="str">
        <f>VLOOKUP(AD24,review3,9,FALSE)</f>
        <v>NVH.415</v>
      </c>
      <c r="AN24" s="55"/>
      <c r="AO24" t="s">
        <v>687</v>
      </c>
      <c r="AP24" s="56"/>
      <c r="AQ24" s="47" t="e">
        <f>VLOOKUP(AP24,defense1_list,7,FALSE)</f>
        <v>#N/A</v>
      </c>
      <c r="AR24" s="57">
        <f>COUNTIF(defense1_forgroup_code,AP24)</f>
        <v>0</v>
      </c>
      <c r="AS24" s="4" t="b">
        <f>ISNUMBER(SEARCH(H24,AQ24))</f>
        <v>0</v>
      </c>
      <c r="AT24" s="4" t="b">
        <f>AND(NOT(ISBLANK(I24)),(ISNUMBER(SEARCH(I24,AQ24))))</f>
        <v>0</v>
      </c>
      <c r="AU24" s="4"/>
      <c r="AV24" s="47"/>
      <c r="AW24" s="47" t="s">
        <v>687</v>
      </c>
      <c r="AX24" s="47"/>
      <c r="AY24" s="47"/>
      <c r="AZ24" s="127">
        <v>103</v>
      </c>
      <c r="BA24" s="47" t="str">
        <f>VLOOKUP(AZ24,defense2_list,7,FALSE)</f>
        <v>TaiNT51_QuynhTNN4_AnNDH2_MinhTTH5_VuLNS</v>
      </c>
      <c r="BB24" s="57">
        <f>COUNTIF(defense2_forgroup_code,AZ24)</f>
        <v>8</v>
      </c>
      <c r="BC24" s="4" t="b">
        <f>ISNUMBER(SEARCH(H24,BA24))</f>
        <v>0</v>
      </c>
      <c r="BD24" s="4" t="b">
        <f>AND(NOT(ISBLANK(I24)),(ISNUMBER(SEARCH(I24,AZ24))))</f>
        <v>0</v>
      </c>
      <c r="BE24" s="4"/>
      <c r="BF24" s="47"/>
      <c r="BG24" s="47"/>
    </row>
    <row r="25" spans="1:59" ht="29.5" thickBot="1" x14ac:dyDescent="0.4">
      <c r="A25" s="47">
        <v>36</v>
      </c>
      <c r="B25" s="48"/>
      <c r="C25" s="49" t="s">
        <v>321</v>
      </c>
      <c r="D25" s="58" t="s">
        <v>322</v>
      </c>
      <c r="E25" s="14" t="s">
        <v>323</v>
      </c>
      <c r="F25" s="14" t="s">
        <v>324</v>
      </c>
      <c r="G25" s="49" t="s">
        <v>517</v>
      </c>
      <c r="H25" s="50" t="s">
        <v>32</v>
      </c>
      <c r="I25" s="51"/>
      <c r="J25" s="6">
        <v>4524</v>
      </c>
      <c r="K25" s="6">
        <f>COUNTIF(review1_code,J25)</f>
        <v>3</v>
      </c>
      <c r="L25" s="4" t="str">
        <f>VLOOKUP(J25,review1,10,FALSE)</f>
        <v>PhuongLHK</v>
      </c>
      <c r="M25" s="4" t="str">
        <f>VLOOKUP(J25,review1,11,FALSE)</f>
        <v>SangNM18</v>
      </c>
      <c r="N25" s="47" t="b">
        <f>OR(EXACT(L25,H25),EXACT(L25,I25),EXACT(M25,H25),EXACT(M25,I25))</f>
        <v>0</v>
      </c>
      <c r="O25" s="52">
        <f>VLOOKUP(J25,review1,7,FALSE)</f>
        <v>46052</v>
      </c>
      <c r="P25" s="52" t="str">
        <f>VLOOKUP(J25,review1,8,FALSE)</f>
        <v>Fri</v>
      </c>
      <c r="Q25" s="47">
        <f>INT(MOD(J25/10,10))</f>
        <v>2</v>
      </c>
      <c r="R25" s="47" t="str">
        <f>VLOOKUP(J25,review1,9,FALSE)</f>
        <v>NVH G.01</v>
      </c>
      <c r="S25" s="47">
        <f>J25+4000</f>
        <v>8524</v>
      </c>
      <c r="T25" s="6">
        <v>8524</v>
      </c>
      <c r="U25" s="6">
        <f>COUNTIF(review2_code,T25)</f>
        <v>3</v>
      </c>
      <c r="V25" s="4" t="str">
        <f>VLOOKUP(T25,review2,10,FALSE)</f>
        <v>PhuongLHK</v>
      </c>
      <c r="W25" s="4" t="str">
        <f>VLOOKUP(T25,review2,11,FALSE)</f>
        <v>SangNM18</v>
      </c>
      <c r="X25" s="4" t="b">
        <f>OR(EXACT(V25,H25),EXACT(V25,I25),EXACT(W25,H25),EXACT(W25,I25))</f>
        <v>0</v>
      </c>
      <c r="Y25" s="53">
        <f>VLOOKUP(T25,review2,7,FALSE)</f>
        <v>46093</v>
      </c>
      <c r="Z25" s="53" t="str">
        <f>VLOOKUP(T25,review2,8,FALSE)</f>
        <v>Thu</v>
      </c>
      <c r="AA25" s="47">
        <f>INT(MOD(T25/10,10))</f>
        <v>2</v>
      </c>
      <c r="AB25" s="47" t="e">
        <f>VLOOKUP(J25,review2,9,FALSE)</f>
        <v>#N/A</v>
      </c>
      <c r="AC25" s="47"/>
      <c r="AD25" s="6">
        <v>14541</v>
      </c>
      <c r="AE25" s="6">
        <f>COUNTIF(review3_code,AD25)</f>
        <v>3</v>
      </c>
      <c r="AF25" s="54" t="str">
        <f>VLOOKUP(AD25,review3,10,FALSE)</f>
        <v>DucDNM2</v>
      </c>
      <c r="AG25" s="54" t="str">
        <f>VLOOKUP(AD25,review3,11,FALSE)</f>
        <v>LamNN15</v>
      </c>
      <c r="AH25" s="47" t="b">
        <f>OR(EXACT(AF25,H25),EXACT(AF25,I25),EXACT(AG25,H25),EXACT(AG25,I25))</f>
        <v>0</v>
      </c>
      <c r="AI25" s="47" t="b">
        <f>OR(EXACT(AF25,V25),EXACT(AF25,W25),EXACT(AG25,V25),EXACT(AG25,W25))</f>
        <v>0</v>
      </c>
      <c r="AJ25" s="53">
        <f>VLOOKUP(AD25,review3,7,FALSE)</f>
        <v>46135</v>
      </c>
      <c r="AK25" s="53" t="str">
        <f>VLOOKUP(AD25,review3,8,FALSE)</f>
        <v>Thu</v>
      </c>
      <c r="AL25" s="47">
        <f>VLOOKUP(AD25,review3,4,FALSE)</f>
        <v>4</v>
      </c>
      <c r="AM25" s="47" t="str">
        <f>VLOOKUP(AD25,review3,9,FALSE)</f>
        <v>NVH.306</v>
      </c>
      <c r="AN25" s="55"/>
      <c r="AO25" t="s">
        <v>687</v>
      </c>
      <c r="AP25" s="56"/>
      <c r="AQ25" s="47" t="e">
        <f>VLOOKUP(AP25,defense1_list,7,FALSE)</f>
        <v>#N/A</v>
      </c>
      <c r="AR25" s="57">
        <f>COUNTIF(defense1_forgroup_code,AP25)</f>
        <v>0</v>
      </c>
      <c r="AS25" s="4" t="b">
        <f>ISNUMBER(SEARCH(H25,AQ25))</f>
        <v>0</v>
      </c>
      <c r="AT25" s="4" t="b">
        <f>AND(NOT(ISBLANK(I25)),(ISNUMBER(SEARCH(I25,AQ25))))</f>
        <v>0</v>
      </c>
      <c r="AU25" s="4"/>
      <c r="AV25" s="47"/>
      <c r="AW25" s="47" t="s">
        <v>687</v>
      </c>
      <c r="AX25" s="47"/>
      <c r="AY25" s="47"/>
      <c r="AZ25" s="127">
        <v>103</v>
      </c>
      <c r="BA25" s="47" t="str">
        <f>VLOOKUP(AZ25,defense2_list,7,FALSE)</f>
        <v>TaiNT51_QuynhTNN4_AnNDH2_MinhTTH5_VuLNS</v>
      </c>
      <c r="BB25" s="57">
        <f>COUNTIF(defense2_forgroup_code,AZ25)</f>
        <v>8</v>
      </c>
      <c r="BC25" s="4" t="b">
        <f>ISNUMBER(SEARCH(H25,BA25))</f>
        <v>0</v>
      </c>
      <c r="BD25" s="4" t="b">
        <f>AND(NOT(ISBLANK(I25)),(ISNUMBER(SEARCH(I25,AZ25))))</f>
        <v>0</v>
      </c>
      <c r="BE25" s="4"/>
      <c r="BF25" s="47"/>
      <c r="BG25" s="47"/>
    </row>
    <row r="26" spans="1:59" ht="15" thickBot="1" x14ac:dyDescent="0.4">
      <c r="A26" s="47">
        <v>112</v>
      </c>
      <c r="B26" s="48"/>
      <c r="C26" s="49" t="s">
        <v>414</v>
      </c>
      <c r="D26" s="58" t="s">
        <v>415</v>
      </c>
      <c r="E26" s="14" t="s">
        <v>416</v>
      </c>
      <c r="F26" s="14" t="s">
        <v>624</v>
      </c>
      <c r="G26" s="49" t="s">
        <v>87</v>
      </c>
      <c r="H26" s="50" t="s">
        <v>88</v>
      </c>
      <c r="I26" s="51"/>
      <c r="J26" s="6">
        <v>3651</v>
      </c>
      <c r="K26" s="6">
        <f>COUNTIF(review1_code,J26)</f>
        <v>3</v>
      </c>
      <c r="L26" s="4" t="str">
        <f>VLOOKUP(J26,review1,10,FALSE)</f>
        <v>TaiNT51</v>
      </c>
      <c r="M26" s="4" t="str">
        <f>VLOOKUP(J26,review1,11,FALSE)</f>
        <v>LamNN15</v>
      </c>
      <c r="N26" s="47" t="b">
        <f>OR(EXACT(L26,H26),EXACT(L26,I26),EXACT(M26,H26),EXACT(M26,I26))</f>
        <v>0</v>
      </c>
      <c r="O26" s="52">
        <f>VLOOKUP(J26,review1,7,FALSE)</f>
        <v>46046</v>
      </c>
      <c r="P26" s="52" t="str">
        <f>VLOOKUP(J26,review1,8,FALSE)</f>
        <v>Sat</v>
      </c>
      <c r="Q26" s="47">
        <f>INT(MOD(J26/10,10))</f>
        <v>5</v>
      </c>
      <c r="R26" s="47" t="str">
        <f>VLOOKUP(J26,review1,9,FALSE)</f>
        <v>NVH G.02</v>
      </c>
      <c r="S26" s="47">
        <f>J26+4000</f>
        <v>7651</v>
      </c>
      <c r="T26" s="6">
        <v>7651</v>
      </c>
      <c r="U26" s="6">
        <f>COUNTIF(review2_code,T26)</f>
        <v>3</v>
      </c>
      <c r="V26" s="4" t="str">
        <f>VLOOKUP(T26,review2,10,FALSE)</f>
        <v>TaiNT51</v>
      </c>
      <c r="W26" s="4" t="str">
        <f>VLOOKUP(T26,review2,11,FALSE)</f>
        <v>LamNN15</v>
      </c>
      <c r="X26" s="4" t="b">
        <f>OR(EXACT(V26,H26),EXACT(V26,I26),EXACT(W26,H26),EXACT(W26,I26))</f>
        <v>0</v>
      </c>
      <c r="Y26" s="53">
        <f>VLOOKUP(T26,review2,7,FALSE)</f>
        <v>46087</v>
      </c>
      <c r="Z26" s="53" t="str">
        <f>VLOOKUP(T26,review2,8,FALSE)</f>
        <v>Fri</v>
      </c>
      <c r="AA26" s="47">
        <f>INT(MOD(T26/10,10))</f>
        <v>5</v>
      </c>
      <c r="AB26" s="47" t="e">
        <f>VLOOKUP(J26,review2,9,FALSE)</f>
        <v>#N/A</v>
      </c>
      <c r="AC26" s="47"/>
      <c r="AD26" s="6">
        <v>14451</v>
      </c>
      <c r="AE26" s="6">
        <f>COUNTIF(review3_code,AD26)</f>
        <v>3</v>
      </c>
      <c r="AF26" s="54" t="str">
        <f>VLOOKUP(AD26,review3,10,FALSE)</f>
        <v>NhanDT35</v>
      </c>
      <c r="AG26" s="54" t="str">
        <f>VLOOKUP(AD26,review3,11,FALSE)</f>
        <v>PhuongLHK</v>
      </c>
      <c r="AH26" s="47" t="b">
        <f>OR(EXACT(AF26,H26),EXACT(AF26,I26),EXACT(AG26,H26),EXACT(AG26,I26))</f>
        <v>0</v>
      </c>
      <c r="AI26" s="47" t="b">
        <f>OR(EXACT(AF26,V26),EXACT(AF26,W26),EXACT(AG26,V26),EXACT(AG26,W26))</f>
        <v>0</v>
      </c>
      <c r="AJ26" s="53">
        <f>VLOOKUP(AD26,review3,7,FALSE)</f>
        <v>46134</v>
      </c>
      <c r="AK26" s="53" t="str">
        <f>VLOOKUP(AD26,review3,8,FALSE)</f>
        <v>Wed</v>
      </c>
      <c r="AL26" s="47">
        <f>VLOOKUP(AD26,review3,4,FALSE)</f>
        <v>5</v>
      </c>
      <c r="AM26" s="47" t="str">
        <f>VLOOKUP(AD26,review3,9,FALSE)</f>
        <v>NVH.301</v>
      </c>
      <c r="AN26" s="55"/>
      <c r="AO26" t="s">
        <v>687</v>
      </c>
      <c r="AP26" s="122"/>
      <c r="AQ26" s="47" t="e">
        <f>VLOOKUP(AP26,defense1_list,7,FALSE)</f>
        <v>#N/A</v>
      </c>
      <c r="AR26" s="57">
        <f>COUNTIF(defense1_forgroup_code,AP26)</f>
        <v>0</v>
      </c>
      <c r="AS26" s="4" t="b">
        <f>ISNUMBER(SEARCH(H26,AQ26))</f>
        <v>0</v>
      </c>
      <c r="AT26" s="4" t="b">
        <f>AND(NOT(ISBLANK(I26)),(ISNUMBER(SEARCH(I26,AQ26))))</f>
        <v>0</v>
      </c>
      <c r="AU26" s="4"/>
      <c r="AV26" s="47"/>
      <c r="AW26" s="47" t="s">
        <v>687</v>
      </c>
      <c r="AX26" s="47"/>
      <c r="AY26" s="47"/>
      <c r="AZ26" s="127">
        <v>103</v>
      </c>
      <c r="BA26" s="47" t="str">
        <f>VLOOKUP(AZ26,defense2_list,7,FALSE)</f>
        <v>TaiNT51_QuynhTNN4_AnNDH2_MinhTTH5_VuLNS</v>
      </c>
      <c r="BB26" s="57">
        <f>COUNTIF(defense2_forgroup_code,AZ26)</f>
        <v>8</v>
      </c>
      <c r="BC26" s="4" t="b">
        <f>ISNUMBER(SEARCH(H26,BA26))</f>
        <v>0</v>
      </c>
      <c r="BD26" s="4" t="b">
        <f>AND(NOT(ISBLANK(I26)),(ISNUMBER(SEARCH(I26,AZ26))))</f>
        <v>0</v>
      </c>
      <c r="BE26" s="4"/>
      <c r="BF26" s="47"/>
      <c r="BG26" s="47"/>
    </row>
    <row r="27" spans="1:59" ht="15" thickBot="1" x14ac:dyDescent="0.4">
      <c r="A27" s="47">
        <v>59</v>
      </c>
      <c r="B27" s="48"/>
      <c r="C27" s="49" t="s">
        <v>429</v>
      </c>
      <c r="D27" s="58" t="s">
        <v>430</v>
      </c>
      <c r="E27" s="14" t="s">
        <v>431</v>
      </c>
      <c r="F27" s="14" t="s">
        <v>432</v>
      </c>
      <c r="G27" s="49" t="s">
        <v>625</v>
      </c>
      <c r="H27" s="50" t="s">
        <v>649</v>
      </c>
      <c r="I27" s="51" t="s">
        <v>650</v>
      </c>
      <c r="J27" s="6">
        <v>4121</v>
      </c>
      <c r="K27" s="6">
        <f>COUNTIF(review1_code,J27)</f>
        <v>3</v>
      </c>
      <c r="L27" s="4" t="str">
        <f>VLOOKUP(J27,review1,10,FALSE)</f>
        <v>TaiNT51</v>
      </c>
      <c r="M27" s="4" t="str">
        <f>VLOOKUP(J27,review1,11,FALSE)</f>
        <v>SangNM18</v>
      </c>
      <c r="N27" s="47" t="b">
        <f>OR(EXACT(L27,H27),EXACT(L27,I27),EXACT(M27,H27),EXACT(M27,I27))</f>
        <v>0</v>
      </c>
      <c r="O27" s="52">
        <f>VLOOKUP(J27,review1,7,FALSE)</f>
        <v>46048</v>
      </c>
      <c r="P27" s="52" t="str">
        <f>VLOOKUP(J27,review1,8,FALSE)</f>
        <v>Mon</v>
      </c>
      <c r="Q27" s="47">
        <f>INT(MOD(J27/10,10))</f>
        <v>2</v>
      </c>
      <c r="R27" s="47" t="str">
        <f>VLOOKUP(J27,review1,9,FALSE)</f>
        <v>NVH G.01</v>
      </c>
      <c r="S27" s="47">
        <f>J27+4000</f>
        <v>8121</v>
      </c>
      <c r="T27" s="6">
        <v>8121</v>
      </c>
      <c r="U27" s="6">
        <f>COUNTIF(review2_code,T27)</f>
        <v>3</v>
      </c>
      <c r="V27" s="4" t="str">
        <f>VLOOKUP(T27,review2,10,FALSE)</f>
        <v>TaiNT51</v>
      </c>
      <c r="W27" s="4" t="str">
        <f>VLOOKUP(T27,review2,11,FALSE)</f>
        <v>SangNM18</v>
      </c>
      <c r="X27" s="4" t="b">
        <f>OR(EXACT(V27,H27),EXACT(V27,I27),EXACT(W27,H27),EXACT(W27,I27))</f>
        <v>0</v>
      </c>
      <c r="Y27" s="53">
        <f>VLOOKUP(T27,review2,7,FALSE)</f>
        <v>46089</v>
      </c>
      <c r="Z27" s="53" t="str">
        <f>VLOOKUP(T27,review2,8,FALSE)</f>
        <v>Sun</v>
      </c>
      <c r="AA27" s="47">
        <f>INT(MOD(T27/10,10))</f>
        <v>2</v>
      </c>
      <c r="AB27" s="47" t="e">
        <f>VLOOKUP(J27,review2,9,FALSE)</f>
        <v>#N/A</v>
      </c>
      <c r="AC27" s="47"/>
      <c r="AD27" s="6">
        <v>14551</v>
      </c>
      <c r="AE27" s="6">
        <f>COUNTIF(review3_code,AD27)</f>
        <v>3</v>
      </c>
      <c r="AF27" s="54" t="str">
        <f>VLOOKUP(AD27,review3,10,FALSE)</f>
        <v>PhuongLHK</v>
      </c>
      <c r="AG27" s="54" t="str">
        <f>VLOOKUP(AD27,review3,11,FALSE)</f>
        <v>NhanDT35</v>
      </c>
      <c r="AH27" s="47" t="b">
        <f>OR(EXACT(AF27,H27),EXACT(AF27,I27),EXACT(AG27,H27),EXACT(AG27,I27))</f>
        <v>0</v>
      </c>
      <c r="AI27" s="47" t="b">
        <f>OR(EXACT(AF27,V27),EXACT(AF27,W27),EXACT(AG27,V27),EXACT(AG27,W27))</f>
        <v>0</v>
      </c>
      <c r="AJ27" s="53">
        <f>VLOOKUP(AD27,review3,7,FALSE)</f>
        <v>46135</v>
      </c>
      <c r="AK27" s="53" t="str">
        <f>VLOOKUP(AD27,review3,8,FALSE)</f>
        <v>Thu</v>
      </c>
      <c r="AL27" s="47">
        <f>VLOOKUP(AD27,review3,4,FALSE)</f>
        <v>5</v>
      </c>
      <c r="AM27" s="47" t="str">
        <f>VLOOKUP(AD27,review3,9,FALSE)</f>
        <v>NVH.301</v>
      </c>
      <c r="AN27" s="55"/>
      <c r="AO27" t="s">
        <v>687</v>
      </c>
      <c r="AP27" s="122"/>
      <c r="AQ27" s="47" t="e">
        <f>VLOOKUP(AP27,defense1_list,7,FALSE)</f>
        <v>#N/A</v>
      </c>
      <c r="AR27" s="57">
        <f>COUNTIF(defense1_forgroup_code,AP27)</f>
        <v>0</v>
      </c>
      <c r="AS27" s="4" t="b">
        <f>ISNUMBER(SEARCH(H27,AQ27))</f>
        <v>0</v>
      </c>
      <c r="AT27" s="4" t="b">
        <f>AND(NOT(ISBLANK(I27)),(ISNUMBER(SEARCH(I27,AQ27))))</f>
        <v>0</v>
      </c>
      <c r="AU27" s="4"/>
      <c r="AV27" s="47"/>
      <c r="AW27" s="47" t="s">
        <v>687</v>
      </c>
      <c r="AX27" s="47"/>
      <c r="AY27" s="47"/>
      <c r="AZ27" s="127">
        <v>103</v>
      </c>
      <c r="BA27" s="47" t="str">
        <f>VLOOKUP(AZ27,defense2_list,7,FALSE)</f>
        <v>TaiNT51_QuynhTNN4_AnNDH2_MinhTTH5_VuLNS</v>
      </c>
      <c r="BB27" s="57">
        <f>COUNTIF(defense2_forgroup_code,AZ27)</f>
        <v>8</v>
      </c>
      <c r="BC27" s="4" t="b">
        <f>ISNUMBER(SEARCH(H27,BA27))</f>
        <v>0</v>
      </c>
      <c r="BD27" s="4" t="b">
        <f>AND(NOT(ISBLANK(I27)),(ISNUMBER(SEARCH(I27,AZ27))))</f>
        <v>0</v>
      </c>
      <c r="BE27" s="4"/>
      <c r="BF27" s="47"/>
      <c r="BG27" s="47"/>
    </row>
    <row r="28" spans="1:59" ht="15" thickBot="1" x14ac:dyDescent="0.4">
      <c r="A28" s="47">
        <v>66</v>
      </c>
      <c r="B28" s="48"/>
      <c r="C28" s="49" t="s">
        <v>464</v>
      </c>
      <c r="D28" s="58" t="s">
        <v>465</v>
      </c>
      <c r="E28" s="14" t="s">
        <v>466</v>
      </c>
      <c r="F28" s="14" t="s">
        <v>467</v>
      </c>
      <c r="G28" s="49" t="s">
        <v>90</v>
      </c>
      <c r="H28" s="50" t="s">
        <v>23</v>
      </c>
      <c r="I28" s="51"/>
      <c r="J28" s="6">
        <v>4312</v>
      </c>
      <c r="K28" s="6">
        <f>COUNTIF(review1_code,J28)</f>
        <v>3</v>
      </c>
      <c r="L28" s="4" t="str">
        <f>VLOOKUP(J28,review1,10,FALSE)</f>
        <v>NhanDT35</v>
      </c>
      <c r="M28" s="4" t="str">
        <f>VLOOKUP(J28,review1,11,FALSE)</f>
        <v>SangNM18</v>
      </c>
      <c r="N28" s="47" t="b">
        <f>OR(EXACT(L28,H28),EXACT(L28,I28),EXACT(M28,H28),EXACT(M28,I28))</f>
        <v>0</v>
      </c>
      <c r="O28" s="52">
        <f>VLOOKUP(J28,review1,7,FALSE)</f>
        <v>46050</v>
      </c>
      <c r="P28" s="52" t="str">
        <f>VLOOKUP(J28,review1,8,FALSE)</f>
        <v>Wed</v>
      </c>
      <c r="Q28" s="47">
        <f>INT(MOD(J28/10,10))</f>
        <v>1</v>
      </c>
      <c r="R28" s="47" t="str">
        <f>VLOOKUP(J28,review1,9,FALSE)</f>
        <v>NVH G.01</v>
      </c>
      <c r="S28" s="47">
        <f>J28+4000</f>
        <v>8312</v>
      </c>
      <c r="T28" s="6">
        <v>8312</v>
      </c>
      <c r="U28" s="6">
        <f>COUNTIF(review2_code,T28)</f>
        <v>3</v>
      </c>
      <c r="V28" s="4" t="str">
        <f>VLOOKUP(T28,review2,10,FALSE)</f>
        <v>NhanDT35</v>
      </c>
      <c r="W28" s="4" t="str">
        <f>VLOOKUP(T28,review2,11,FALSE)</f>
        <v>SangNM18</v>
      </c>
      <c r="X28" s="4" t="b">
        <f>OR(EXACT(V28,H28),EXACT(V28,I28),EXACT(W28,H28),EXACT(W28,I28))</f>
        <v>0</v>
      </c>
      <c r="Y28" s="53">
        <f>VLOOKUP(T28,review2,7,FALSE)</f>
        <v>46091</v>
      </c>
      <c r="Z28" s="53" t="str">
        <f>VLOOKUP(T28,review2,8,FALSE)</f>
        <v>Tue</v>
      </c>
      <c r="AA28" s="47">
        <f>INT(MOD(T28/10,10))</f>
        <v>1</v>
      </c>
      <c r="AB28" s="47" t="e">
        <f>VLOOKUP(J28,review2,9,FALSE)</f>
        <v>#N/A</v>
      </c>
      <c r="AC28" s="47"/>
      <c r="AD28" s="6">
        <v>14422</v>
      </c>
      <c r="AE28" s="6">
        <f>COUNTIF(review3_code,AD28)</f>
        <v>3</v>
      </c>
      <c r="AF28" s="54" t="str">
        <f>VLOOKUP(AD28,review3,10,FALSE)</f>
        <v>PhuongLHK</v>
      </c>
      <c r="AG28" s="54" t="str">
        <f>VLOOKUP(AD28,review3,11,FALSE)</f>
        <v>VuLNS</v>
      </c>
      <c r="AH28" s="47" t="b">
        <f>OR(EXACT(AF28,H28),EXACT(AF28,I28),EXACT(AG28,H28),EXACT(AG28,I28))</f>
        <v>0</v>
      </c>
      <c r="AI28" s="47" t="b">
        <f>OR(EXACT(AF28,V28),EXACT(AF28,W28),EXACT(AG28,V28),EXACT(AG28,W28))</f>
        <v>0</v>
      </c>
      <c r="AJ28" s="53">
        <f>VLOOKUP(AD28,review3,7,FALSE)</f>
        <v>46134</v>
      </c>
      <c r="AK28" s="53" t="str">
        <f>VLOOKUP(AD28,review3,8,FALSE)</f>
        <v>Wed</v>
      </c>
      <c r="AL28" s="47">
        <f>VLOOKUP(AD28,review3,4,FALSE)</f>
        <v>2</v>
      </c>
      <c r="AM28" s="47" t="str">
        <f>VLOOKUP(AD28,review3,9,FALSE)</f>
        <v>NVH.301</v>
      </c>
      <c r="AN28" s="55"/>
      <c r="AO28" t="s">
        <v>687</v>
      </c>
      <c r="AP28" s="122"/>
      <c r="AQ28" s="47" t="e">
        <f>VLOOKUP(AP28,defense1_list,7,FALSE)</f>
        <v>#N/A</v>
      </c>
      <c r="AR28" s="57">
        <f>COUNTIF(defense1_forgroup_code,AP28)</f>
        <v>0</v>
      </c>
      <c r="AS28" s="4" t="b">
        <f>ISNUMBER(SEARCH(H28,AQ28))</f>
        <v>0</v>
      </c>
      <c r="AT28" s="4" t="b">
        <f>AND(NOT(ISBLANK(I28)),(ISNUMBER(SEARCH(I28,AQ28))))</f>
        <v>0</v>
      </c>
      <c r="AU28" s="4"/>
      <c r="AV28" s="47"/>
      <c r="AW28" s="47" t="s">
        <v>687</v>
      </c>
      <c r="AX28" s="47"/>
      <c r="AY28" s="47"/>
      <c r="AZ28" s="127">
        <v>103</v>
      </c>
      <c r="BA28" s="47" t="str">
        <f>VLOOKUP(AZ28,defense2_list,7,FALSE)</f>
        <v>TaiNT51_QuynhTNN4_AnNDH2_MinhTTH5_VuLNS</v>
      </c>
      <c r="BB28" s="57">
        <f>COUNTIF(defense2_forgroup_code,AZ28)</f>
        <v>8</v>
      </c>
      <c r="BC28" s="4" t="b">
        <f>ISNUMBER(SEARCH(H28,BA28))</f>
        <v>0</v>
      </c>
      <c r="BD28" s="4" t="b">
        <f>AND(NOT(ISBLANK(I28)),(ISNUMBER(SEARCH(I28,AZ28))))</f>
        <v>0</v>
      </c>
      <c r="BE28" s="4"/>
      <c r="BF28" s="47"/>
      <c r="BG28" s="47"/>
    </row>
    <row r="29" spans="1:59" ht="15" thickBot="1" x14ac:dyDescent="0.4">
      <c r="A29" s="47">
        <v>46</v>
      </c>
      <c r="B29" s="48"/>
      <c r="C29" s="49" t="s">
        <v>527</v>
      </c>
      <c r="D29" s="58" t="s">
        <v>528</v>
      </c>
      <c r="E29" s="14" t="s">
        <v>529</v>
      </c>
      <c r="F29" s="14" t="s">
        <v>530</v>
      </c>
      <c r="G29" s="49" t="s">
        <v>64</v>
      </c>
      <c r="H29" s="50" t="s">
        <v>24</v>
      </c>
      <c r="I29" s="51"/>
      <c r="J29" s="6">
        <v>4351</v>
      </c>
      <c r="K29" s="6">
        <f>COUNTIF(review1_code,J29)</f>
        <v>3</v>
      </c>
      <c r="L29" s="4" t="str">
        <f>VLOOKUP(J29,review1,10,FALSE)</f>
        <v>PhuongLHK</v>
      </c>
      <c r="M29" s="4" t="str">
        <f>VLOOKUP(J29,review1,11,FALSE)</f>
        <v>TamPM</v>
      </c>
      <c r="N29" s="47" t="b">
        <f>OR(EXACT(L29,H29),EXACT(L29,I29),EXACT(M29,H29),EXACT(M29,I29))</f>
        <v>0</v>
      </c>
      <c r="O29" s="52">
        <f>VLOOKUP(J29,review1,7,FALSE)</f>
        <v>46050</v>
      </c>
      <c r="P29" s="52" t="str">
        <f>VLOOKUP(J29,review1,8,FALSE)</f>
        <v>Wed</v>
      </c>
      <c r="Q29" s="47">
        <f>INT(MOD(J29/10,10))</f>
        <v>5</v>
      </c>
      <c r="R29" s="47" t="str">
        <f>VLOOKUP(J29,review1,9,FALSE)</f>
        <v>NVH G.01</v>
      </c>
      <c r="S29" s="47">
        <f>J29+4000</f>
        <v>8351</v>
      </c>
      <c r="T29" s="6">
        <v>8351</v>
      </c>
      <c r="U29" s="6">
        <f>COUNTIF(review2_code,T29)</f>
        <v>3</v>
      </c>
      <c r="V29" s="4" t="str">
        <f>VLOOKUP(T29,review2,10,FALSE)</f>
        <v>PhuongLHK</v>
      </c>
      <c r="W29" s="4" t="str">
        <f>VLOOKUP(T29,review2,11,FALSE)</f>
        <v>TamPM</v>
      </c>
      <c r="X29" s="4" t="b">
        <f>OR(EXACT(V29,H29),EXACT(V29,I29),EXACT(W29,H29),EXACT(W29,I29))</f>
        <v>0</v>
      </c>
      <c r="Y29" s="53">
        <f>VLOOKUP(T29,review2,7,FALSE)</f>
        <v>46091</v>
      </c>
      <c r="Z29" s="53" t="str">
        <f>VLOOKUP(T29,review2,8,FALSE)</f>
        <v>Tue</v>
      </c>
      <c r="AA29" s="47">
        <f>INT(MOD(T29/10,10))</f>
        <v>5</v>
      </c>
      <c r="AB29" s="47" t="e">
        <f>VLOOKUP(J29,review2,9,FALSE)</f>
        <v>#N/A</v>
      </c>
      <c r="AC29" s="47"/>
      <c r="AD29" s="6">
        <v>14411</v>
      </c>
      <c r="AE29" s="6">
        <f>COUNTIF(review3_code,AD29)</f>
        <v>3</v>
      </c>
      <c r="AF29" s="54" t="str">
        <f>VLOOKUP(AD29,review3,10,FALSE)</f>
        <v>TaiNT51</v>
      </c>
      <c r="AG29" s="54" t="str">
        <f>VLOOKUP(AD29,review3,11,FALSE)</f>
        <v>VanTTN2</v>
      </c>
      <c r="AH29" s="47" t="b">
        <f>OR(EXACT(AF29,H29),EXACT(AF29,I29),EXACT(AG29,H29),EXACT(AG29,I29))</f>
        <v>0</v>
      </c>
      <c r="AI29" s="47" t="b">
        <f>OR(EXACT(AF29,V29),EXACT(AF29,W29),EXACT(AG29,V29),EXACT(AG29,W29))</f>
        <v>0</v>
      </c>
      <c r="AJ29" s="53">
        <f>VLOOKUP(AD29,review3,7,FALSE)</f>
        <v>46134</v>
      </c>
      <c r="AK29" s="53" t="str">
        <f>VLOOKUP(AD29,review3,8,FALSE)</f>
        <v>Wed</v>
      </c>
      <c r="AL29" s="47">
        <f>VLOOKUP(AD29,review3,4,FALSE)</f>
        <v>1</v>
      </c>
      <c r="AM29" s="47" t="str">
        <f>VLOOKUP(AD29,review3,9,FALSE)</f>
        <v>NVH.415</v>
      </c>
      <c r="AN29" s="55"/>
      <c r="AO29" t="s">
        <v>688</v>
      </c>
      <c r="AP29" s="56">
        <v>302</v>
      </c>
      <c r="AQ29" s="47" t="str">
        <f>VLOOKUP(AP29,defense1_list,7,FALSE)</f>
        <v>TaiNT51_QuynhTNN4_AnNDH2_MinhTTH5_TruongLV11</v>
      </c>
      <c r="AR29" s="57">
        <f>COUNTIF(defense1_forgroup_code,AP29)</f>
        <v>8</v>
      </c>
      <c r="AS29" s="4" t="b">
        <f>ISNUMBER(SEARCH(H29,AQ29))</f>
        <v>0</v>
      </c>
      <c r="AT29" s="4" t="b">
        <f>AND(NOT(ISBLANK(I29)),(ISNUMBER(SEARCH(I29,AQ29))))</f>
        <v>0</v>
      </c>
      <c r="AU29" s="4" t="b">
        <f>(IFERROR(SEARCH(AF29,AQ29),0)+IFERROR(SEARCH(AG29,AQ29),0))&gt;0</f>
        <v>1</v>
      </c>
      <c r="AV29" s="47"/>
      <c r="AW29" s="47" t="s">
        <v>689</v>
      </c>
      <c r="AX29" s="47"/>
      <c r="AY29" s="47"/>
      <c r="AZ29" s="127">
        <v>103</v>
      </c>
      <c r="BA29" s="47" t="str">
        <f>VLOOKUP(AZ29,defense2_list,7,FALSE)</f>
        <v>TaiNT51_QuynhTNN4_AnNDH2_MinhTTH5_VuLNS</v>
      </c>
      <c r="BB29" s="57">
        <f>COUNTIF(defense2_forgroup_code,AZ29)</f>
        <v>8</v>
      </c>
      <c r="BC29" s="4" t="b">
        <f>ISNUMBER(SEARCH(H29,BA29))</f>
        <v>0</v>
      </c>
      <c r="BD29" s="4" t="b">
        <f>AND(NOT(ISBLANK(I29)),(ISNUMBER(SEARCH(I29,AZ29))))</f>
        <v>0</v>
      </c>
      <c r="BE29" s="4"/>
      <c r="BF29" s="47"/>
      <c r="BG29" s="47"/>
    </row>
    <row r="30" spans="1:59" ht="15" thickBot="1" x14ac:dyDescent="0.4">
      <c r="A30" s="47">
        <v>1</v>
      </c>
      <c r="B30" s="48"/>
      <c r="C30" s="49" t="s">
        <v>147</v>
      </c>
      <c r="D30" s="58" t="s">
        <v>148</v>
      </c>
      <c r="E30" s="14" t="s">
        <v>149</v>
      </c>
      <c r="F30" s="14" t="s">
        <v>150</v>
      </c>
      <c r="G30" s="49" t="s">
        <v>89</v>
      </c>
      <c r="H30" s="50" t="s">
        <v>12</v>
      </c>
      <c r="I30" s="51"/>
      <c r="J30" s="6">
        <v>4332</v>
      </c>
      <c r="K30" s="6">
        <f>COUNTIF(review1_code,J30)</f>
        <v>3</v>
      </c>
      <c r="L30" s="4" t="str">
        <f>VLOOKUP(J30,review1,10,FALSE)</f>
        <v>NguyenTT15</v>
      </c>
      <c r="M30" s="4" t="str">
        <f>VLOOKUP(J30,review1,11,FALSE)</f>
        <v>SangNM18</v>
      </c>
      <c r="N30" s="47" t="b">
        <f>OR(EXACT(V30,H30),EXACT(V30,I30),EXACT(W30,H30),EXACT(W30,I30))</f>
        <v>0</v>
      </c>
      <c r="O30" s="52">
        <f>VLOOKUP(J30,review1,7,FALSE)</f>
        <v>46050</v>
      </c>
      <c r="P30" s="52" t="str">
        <f>VLOOKUP(J30,review1,8,FALSE)</f>
        <v>Wed</v>
      </c>
      <c r="Q30" s="47">
        <f>INT(MOD(J30/10,10))</f>
        <v>3</v>
      </c>
      <c r="R30" s="47" t="str">
        <f>VLOOKUP(J30,review1,9,FALSE)</f>
        <v>NVH G.02</v>
      </c>
      <c r="S30" s="47">
        <f>J30+4000</f>
        <v>8332</v>
      </c>
      <c r="T30" s="6">
        <v>8332</v>
      </c>
      <c r="U30" s="6">
        <f>COUNTIF(review2_code,T30)</f>
        <v>3</v>
      </c>
      <c r="V30" s="4" t="str">
        <f>VLOOKUP(T30,review2,10,FALSE)</f>
        <v>NguyenTT15</v>
      </c>
      <c r="W30" s="4" t="str">
        <f>VLOOKUP(T30,review2,11,FALSE)</f>
        <v>SangNM18</v>
      </c>
      <c r="X30" s="4" t="b">
        <f>OR(EXACT(V30,H30),EXACT(V30,I30),EXACT(W30,H30),EXACT(W30,I30))</f>
        <v>0</v>
      </c>
      <c r="Y30" s="53">
        <f>VLOOKUP(T30,review2,7,FALSE)</f>
        <v>46091</v>
      </c>
      <c r="Z30" s="53" t="str">
        <f>VLOOKUP(T30,review2,8,FALSE)</f>
        <v>Tue</v>
      </c>
      <c r="AA30" s="47">
        <f>INT(MOD(T30/10,10))</f>
        <v>3</v>
      </c>
      <c r="AB30" s="47" t="e">
        <f>VLOOKUP(J30,review2,9,FALSE)</f>
        <v>#N/A</v>
      </c>
      <c r="AC30" s="47"/>
      <c r="AD30" s="6">
        <v>14212</v>
      </c>
      <c r="AE30" s="6">
        <f>COUNTIF(review3_code,AD30)</f>
        <v>3</v>
      </c>
      <c r="AF30" s="54" t="str">
        <f>VLOOKUP(AD30,review3,10,FALSE)</f>
        <v>HuongNTC2</v>
      </c>
      <c r="AG30" s="54" t="str">
        <f>VLOOKUP(AD30,review3,11,FALSE)</f>
        <v>VanTTN2</v>
      </c>
      <c r="AH30" s="47" t="b">
        <f>OR(EXACT(AF30,H30),EXACT(AF30,I30),EXACT(AG30,H30),EXACT(AG30,I30))</f>
        <v>0</v>
      </c>
      <c r="AI30" s="47" t="b">
        <f>OR(EXACT(AF30,V30),EXACT(AF30,W30),EXACT(AG30,V30),EXACT(AG30,W30))</f>
        <v>0</v>
      </c>
      <c r="AJ30" s="53">
        <f>VLOOKUP(AD30,review3,7,FALSE)</f>
        <v>46132</v>
      </c>
      <c r="AK30" s="53" t="str">
        <f>VLOOKUP(AD30,review3,8,FALSE)</f>
        <v>Mon</v>
      </c>
      <c r="AL30" s="47">
        <f>VLOOKUP(AD30,review3,4,FALSE)</f>
        <v>1</v>
      </c>
      <c r="AM30" s="47" t="str">
        <f>VLOOKUP(AD30,review3,9,FALSE)</f>
        <v>NVH.414</v>
      </c>
      <c r="AN30" s="55"/>
      <c r="AO30" t="s">
        <v>687</v>
      </c>
      <c r="AP30" s="122"/>
      <c r="AQ30" s="47" t="e">
        <f>VLOOKUP(AP30,defense1_list,7,FALSE)</f>
        <v>#N/A</v>
      </c>
      <c r="AR30" s="57">
        <f>COUNTIF(defense1_forgroup_code,AP30)</f>
        <v>0</v>
      </c>
      <c r="AS30" s="4" t="b">
        <f>ISNUMBER(SEARCH(H30,AQ30))</f>
        <v>0</v>
      </c>
      <c r="AT30" s="4" t="b">
        <f>AND(NOT(ISBLANK(I30)),(ISNUMBER(SEARCH(I30,AQ30))))</f>
        <v>0</v>
      </c>
      <c r="AU30" s="4"/>
      <c r="AV30" s="47"/>
      <c r="AW30" s="47" t="s">
        <v>687</v>
      </c>
      <c r="AX30" s="47"/>
      <c r="AY30" s="47"/>
      <c r="AZ30" s="127">
        <v>104</v>
      </c>
      <c r="BA30" s="47" t="str">
        <f>VLOOKUP(AZ30,defense2_list,7,FALSE)</f>
        <v>PhuongLHK_NguyenTT15_NhanDT35_TriPT9_ThinhDP2</v>
      </c>
      <c r="BB30" s="57">
        <f>COUNTIF(defense2_forgroup_code,AZ30)</f>
        <v>9</v>
      </c>
      <c r="BC30" s="4" t="b">
        <f>ISNUMBER(SEARCH(H30,BA30))</f>
        <v>0</v>
      </c>
      <c r="BD30" s="4" t="b">
        <f>AND(NOT(ISBLANK(I30)),(ISNUMBER(SEARCH(I30,AZ30))))</f>
        <v>0</v>
      </c>
      <c r="BE30" s="4"/>
      <c r="BF30" s="47"/>
      <c r="BG30" s="47"/>
    </row>
    <row r="31" spans="1:59" ht="29.5" thickBot="1" x14ac:dyDescent="0.4">
      <c r="A31" s="47">
        <v>16</v>
      </c>
      <c r="B31" s="48"/>
      <c r="C31" s="49" t="s">
        <v>237</v>
      </c>
      <c r="D31" s="58" t="s">
        <v>238</v>
      </c>
      <c r="E31" s="14" t="s">
        <v>239</v>
      </c>
      <c r="F31" s="14" t="s">
        <v>240</v>
      </c>
      <c r="G31" s="49" t="s">
        <v>70</v>
      </c>
      <c r="H31" s="50" t="s">
        <v>71</v>
      </c>
      <c r="I31" s="51"/>
      <c r="J31" s="6">
        <v>3621</v>
      </c>
      <c r="K31" s="6">
        <f>COUNTIF(review1_code,J31)</f>
        <v>3</v>
      </c>
      <c r="L31" s="4" t="str">
        <f>VLOOKUP(J31,review1,10,FALSE)</f>
        <v>HuongNTC2</v>
      </c>
      <c r="M31" s="4" t="str">
        <f>VLOOKUP(J31,review1,11,FALSE)</f>
        <v>TaiNT51</v>
      </c>
      <c r="N31" s="47" t="b">
        <f>OR(EXACT(L31,H31),EXACT(L31,I31),EXACT(M31,H31),EXACT(M31,I31))</f>
        <v>0</v>
      </c>
      <c r="O31" s="52">
        <f>VLOOKUP(J31,review1,7,FALSE)</f>
        <v>46046</v>
      </c>
      <c r="P31" s="52" t="str">
        <f>VLOOKUP(J31,review1,8,FALSE)</f>
        <v>Sat</v>
      </c>
      <c r="Q31" s="47">
        <f>INT(MOD(J31/10,10))</f>
        <v>2</v>
      </c>
      <c r="R31" s="47" t="str">
        <f>VLOOKUP(J31,review1,9,FALSE)</f>
        <v>NVH G.01</v>
      </c>
      <c r="S31" s="47">
        <f>J31+4000</f>
        <v>7621</v>
      </c>
      <c r="T31" s="6">
        <v>7621</v>
      </c>
      <c r="U31" s="6">
        <f>COUNTIF(review2_code,T31)</f>
        <v>3</v>
      </c>
      <c r="V31" s="4" t="str">
        <f>VLOOKUP(T31,review2,10,FALSE)</f>
        <v>HuongNTC2</v>
      </c>
      <c r="W31" s="4" t="str">
        <f>VLOOKUP(T31,review2,11,FALSE)</f>
        <v>TaiNT51</v>
      </c>
      <c r="X31" s="4" t="b">
        <f>OR(EXACT(V31,H31),EXACT(V31,I31),EXACT(W31,H31),EXACT(W31,I31))</f>
        <v>0</v>
      </c>
      <c r="Y31" s="53">
        <f>VLOOKUP(T31,review2,7,FALSE)</f>
        <v>46087</v>
      </c>
      <c r="Z31" s="53" t="str">
        <f>VLOOKUP(T31,review2,8,FALSE)</f>
        <v>Fri</v>
      </c>
      <c r="AA31" s="47">
        <f>INT(MOD(T31/10,10))</f>
        <v>2</v>
      </c>
      <c r="AB31" s="47" t="e">
        <f>VLOOKUP(J31,review2,9,FALSE)</f>
        <v>#N/A</v>
      </c>
      <c r="AC31" s="47"/>
      <c r="AD31" s="6">
        <v>14331</v>
      </c>
      <c r="AE31" s="6">
        <f>COUNTIF(review3_code,AD31)</f>
        <v>3</v>
      </c>
      <c r="AF31" s="54" t="str">
        <f>VLOOKUP(AD31,review3,10,FALSE)</f>
        <v>TamPM</v>
      </c>
      <c r="AG31" s="54" t="str">
        <f>VLOOKUP(AD31,review3,11,FALSE)</f>
        <v>LamNN15</v>
      </c>
      <c r="AH31" s="47" t="b">
        <f>OR(EXACT(AF31,H31),EXACT(AF31,I31),EXACT(AG31,H31),EXACT(AG31,I31))</f>
        <v>0</v>
      </c>
      <c r="AI31" s="47" t="b">
        <f>OR(EXACT(AF31,V31),EXACT(AF31,W31),EXACT(AG31,V31),EXACT(AG31,W31))</f>
        <v>0</v>
      </c>
      <c r="AJ31" s="53">
        <f>VLOOKUP(AD31,review3,7,FALSE)</f>
        <v>46133</v>
      </c>
      <c r="AK31" s="53" t="str">
        <f>VLOOKUP(AD31,review3,8,FALSE)</f>
        <v>Tue</v>
      </c>
      <c r="AL31" s="47">
        <f>VLOOKUP(AD31,review3,4,FALSE)</f>
        <v>3</v>
      </c>
      <c r="AM31" s="47" t="str">
        <f>VLOOKUP(AD31,review3,9,FALSE)</f>
        <v>NVH.415</v>
      </c>
      <c r="AN31" s="55"/>
      <c r="AO31" t="s">
        <v>687</v>
      </c>
      <c r="AP31" s="56"/>
      <c r="AQ31" s="47" t="e">
        <f>VLOOKUP(AP31,defense1_list,7,FALSE)</f>
        <v>#N/A</v>
      </c>
      <c r="AR31" s="57">
        <f>COUNTIF(defense1_forgroup_code,AP31)</f>
        <v>0</v>
      </c>
      <c r="AS31" s="4" t="b">
        <f>ISNUMBER(SEARCH(H31,AQ31))</f>
        <v>0</v>
      </c>
      <c r="AT31" s="4" t="b">
        <f>AND(NOT(ISBLANK(I31)),(ISNUMBER(SEARCH(I31,AQ31))))</f>
        <v>0</v>
      </c>
      <c r="AU31" s="4"/>
      <c r="AV31" s="47"/>
      <c r="AW31" s="47" t="s">
        <v>687</v>
      </c>
      <c r="AX31" s="47"/>
      <c r="AY31" s="47"/>
      <c r="AZ31" s="127">
        <v>104</v>
      </c>
      <c r="BA31" s="47" t="str">
        <f>VLOOKUP(AZ31,defense2_list,7,FALSE)</f>
        <v>PhuongLHK_NguyenTT15_NhanDT35_TriPT9_ThinhDP2</v>
      </c>
      <c r="BB31" s="57">
        <f>COUNTIF(defense2_forgroup_code,AZ31)</f>
        <v>9</v>
      </c>
      <c r="BC31" s="4" t="b">
        <f>ISNUMBER(SEARCH(H31,BA31))</f>
        <v>0</v>
      </c>
      <c r="BD31" s="4" t="b">
        <f>AND(NOT(ISBLANK(I31)),(ISNUMBER(SEARCH(I31,AZ31))))</f>
        <v>0</v>
      </c>
      <c r="BE31" s="4"/>
      <c r="BF31" s="47"/>
      <c r="BG31" s="47"/>
    </row>
    <row r="32" spans="1:59" ht="15" thickBot="1" x14ac:dyDescent="0.4">
      <c r="A32" s="47">
        <v>40</v>
      </c>
      <c r="B32" s="48"/>
      <c r="C32" s="49" t="s">
        <v>289</v>
      </c>
      <c r="D32" s="58" t="s">
        <v>290</v>
      </c>
      <c r="E32" s="14" t="s">
        <v>291</v>
      </c>
      <c r="F32" s="14" t="s">
        <v>292</v>
      </c>
      <c r="G32" s="49" t="s">
        <v>68</v>
      </c>
      <c r="H32" s="50" t="s">
        <v>29</v>
      </c>
      <c r="I32" s="51"/>
      <c r="J32" s="6">
        <v>4231</v>
      </c>
      <c r="K32" s="6">
        <f>COUNTIF(review1_code,J32)</f>
        <v>3</v>
      </c>
      <c r="L32" s="4" t="str">
        <f>VLOOKUP(J32,review1,10,FALSE)</f>
        <v>PhuongLHK</v>
      </c>
      <c r="M32" s="4" t="str">
        <f>VLOOKUP(J32,review1,11,FALSE)</f>
        <v>MinhTTH5</v>
      </c>
      <c r="N32" s="47" t="b">
        <f>OR(EXACT(L32,H32),EXACT(L32,I32),EXACT(M32,H32),EXACT(M32,I32))</f>
        <v>0</v>
      </c>
      <c r="O32" s="52">
        <f>VLOOKUP(J32,review1,7,FALSE)</f>
        <v>46049</v>
      </c>
      <c r="P32" s="52" t="str">
        <f>VLOOKUP(J32,review1,8,FALSE)</f>
        <v>Tue</v>
      </c>
      <c r="Q32" s="47">
        <f>INT(MOD(J32/10,10))</f>
        <v>3</v>
      </c>
      <c r="R32" s="47" t="str">
        <f>VLOOKUP(J32,review1,9,FALSE)</f>
        <v>NVH G.01</v>
      </c>
      <c r="S32" s="47">
        <f>J32+4000</f>
        <v>8231</v>
      </c>
      <c r="T32" s="6">
        <v>8231</v>
      </c>
      <c r="U32" s="6">
        <f>COUNTIF(review2_code,T32)</f>
        <v>3</v>
      </c>
      <c r="V32" s="4" t="str">
        <f>VLOOKUP(T32,review2,10,FALSE)</f>
        <v>PhuongLHK</v>
      </c>
      <c r="W32" s="4" t="str">
        <f>VLOOKUP(T32,review2,11,FALSE)</f>
        <v>MinhTTH5</v>
      </c>
      <c r="X32" s="4" t="b">
        <f>OR(EXACT(V32,H32),EXACT(V32,I32),EXACT(W32,H32),EXACT(W32,I32))</f>
        <v>0</v>
      </c>
      <c r="Y32" s="53">
        <f>VLOOKUP(T32,review2,7,FALSE)</f>
        <v>46090</v>
      </c>
      <c r="Z32" s="53" t="str">
        <f>VLOOKUP(T32,review2,8,FALSE)</f>
        <v>Mon</v>
      </c>
      <c r="AA32" s="47">
        <f>INT(MOD(T32/10,10))</f>
        <v>3</v>
      </c>
      <c r="AB32" s="47" t="e">
        <f>VLOOKUP(J32,review2,9,FALSE)</f>
        <v>#N/A</v>
      </c>
      <c r="AC32" s="47"/>
      <c r="AD32" s="6">
        <v>14243</v>
      </c>
      <c r="AE32" s="6">
        <f>COUNTIF(review3_code,AD32)</f>
        <v>3</v>
      </c>
      <c r="AF32" s="54" t="str">
        <f>VLOOKUP(AD32,review3,10,FALSE)</f>
        <v>TamPM</v>
      </c>
      <c r="AG32" s="54" t="str">
        <f>VLOOKUP(AD32,review3,11,FALSE)</f>
        <v>NhanDT35</v>
      </c>
      <c r="AH32" s="47" t="b">
        <f>OR(EXACT(AF32,H32),EXACT(AF32,I32),EXACT(AG32,H32),EXACT(AG32,I32))</f>
        <v>0</v>
      </c>
      <c r="AI32" s="47" t="b">
        <f>OR(EXACT(AF32,V32),EXACT(AF32,W32),EXACT(AG32,V32),EXACT(AG32,W32))</f>
        <v>0</v>
      </c>
      <c r="AJ32" s="53">
        <f>VLOOKUP(AD32,review3,7,FALSE)</f>
        <v>46132</v>
      </c>
      <c r="AK32" s="53" t="str">
        <f>VLOOKUP(AD32,review3,8,FALSE)</f>
        <v>Mon</v>
      </c>
      <c r="AL32" s="47">
        <f>VLOOKUP(AD32,review3,4,FALSE)</f>
        <v>4</v>
      </c>
      <c r="AM32" s="47" t="str">
        <f>VLOOKUP(AD32,review3,9,FALSE)</f>
        <v>NVH.306</v>
      </c>
      <c r="AN32" s="55"/>
      <c r="AO32" t="s">
        <v>687</v>
      </c>
      <c r="AP32" s="56"/>
      <c r="AQ32" s="47" t="e">
        <f>VLOOKUP(AP32,defense1_list,7,FALSE)</f>
        <v>#N/A</v>
      </c>
      <c r="AR32" s="57">
        <f>COUNTIF(defense1_forgroup_code,AP32)</f>
        <v>0</v>
      </c>
      <c r="AS32" s="4" t="b">
        <f>ISNUMBER(SEARCH(H32,AQ32))</f>
        <v>0</v>
      </c>
      <c r="AT32" s="4" t="b">
        <f>AND(NOT(ISBLANK(I32)),(ISNUMBER(SEARCH(I32,AQ32))))</f>
        <v>0</v>
      </c>
      <c r="AU32" s="4"/>
      <c r="AV32" s="47"/>
      <c r="AW32" s="47" t="s">
        <v>687</v>
      </c>
      <c r="AX32" s="47"/>
      <c r="AY32" s="47"/>
      <c r="AZ32" s="127">
        <v>104</v>
      </c>
      <c r="BA32" s="47" t="str">
        <f>VLOOKUP(AZ32,defense2_list,7,FALSE)</f>
        <v>PhuongLHK_NguyenTT15_NhanDT35_TriPT9_ThinhDP2</v>
      </c>
      <c r="BB32" s="57">
        <f>COUNTIF(defense2_forgroup_code,AZ32)</f>
        <v>9</v>
      </c>
      <c r="BC32" s="4" t="b">
        <f>ISNUMBER(SEARCH(H32,BA32))</f>
        <v>0</v>
      </c>
      <c r="BD32" s="4" t="b">
        <f>AND(NOT(ISBLANK(I32)),(ISNUMBER(SEARCH(I32,AZ32))))</f>
        <v>0</v>
      </c>
      <c r="BE32" s="4"/>
      <c r="BF32" s="47"/>
      <c r="BG32" s="47"/>
    </row>
    <row r="33" spans="1:59" ht="15" thickBot="1" x14ac:dyDescent="0.4">
      <c r="A33" s="47">
        <v>70</v>
      </c>
      <c r="B33" s="48"/>
      <c r="C33" s="49" t="s">
        <v>417</v>
      </c>
      <c r="D33" s="58" t="s">
        <v>418</v>
      </c>
      <c r="E33" s="14" t="s">
        <v>419</v>
      </c>
      <c r="F33" s="14" t="s">
        <v>420</v>
      </c>
      <c r="G33" s="49" t="s">
        <v>625</v>
      </c>
      <c r="H33" s="50" t="s">
        <v>649</v>
      </c>
      <c r="I33" s="51" t="s">
        <v>650</v>
      </c>
      <c r="J33" s="6">
        <v>4441</v>
      </c>
      <c r="K33" s="6">
        <f>COUNTIF(review1_code,J33)</f>
        <v>3</v>
      </c>
      <c r="L33" s="74" t="str">
        <f>VLOOKUP(J33,review1,10,FALSE)</f>
        <v>DucDNM2</v>
      </c>
      <c r="M33" s="74" t="str">
        <f>VLOOKUP(J33,review1,11,FALSE)</f>
        <v>VanTTN2</v>
      </c>
      <c r="N33" s="47" t="b">
        <f>OR(EXACT(L33,H33),EXACT(L33,I33),EXACT(M33,H33),EXACT(M33,I33))</f>
        <v>0</v>
      </c>
      <c r="O33" s="52">
        <f>VLOOKUP(J33,review1,7,FALSE)</f>
        <v>46051</v>
      </c>
      <c r="P33" s="52" t="str">
        <f>VLOOKUP(J33,review1,8,FALSE)</f>
        <v>Thu</v>
      </c>
      <c r="Q33" s="47">
        <f>INT(MOD(J33/10,10))</f>
        <v>4</v>
      </c>
      <c r="R33" s="47" t="str">
        <f>VLOOKUP(J33,review1,9,FALSE)</f>
        <v>LB21 (Thư viên Campus)</v>
      </c>
      <c r="S33" s="47">
        <f>J33+4000</f>
        <v>8441</v>
      </c>
      <c r="T33" s="6">
        <v>8441</v>
      </c>
      <c r="U33" s="6">
        <f>COUNTIF(review2_code,T33)</f>
        <v>3</v>
      </c>
      <c r="V33" s="4" t="str">
        <f>VLOOKUP(T33,review2,10,FALSE)</f>
        <v>DucDNM2</v>
      </c>
      <c r="W33" s="4" t="str">
        <f>VLOOKUP(T33,review2,11,FALSE)</f>
        <v>VanTTN2</v>
      </c>
      <c r="X33" s="4" t="b">
        <f>OR(EXACT(V33,H33),EXACT(V33,I33),EXACT(W33,H33),EXACT(W33,I33))</f>
        <v>0</v>
      </c>
      <c r="Y33" s="53">
        <f>VLOOKUP(T33,review2,7,FALSE)</f>
        <v>46092</v>
      </c>
      <c r="Z33" s="53" t="str">
        <f>VLOOKUP(T33,review2,8,FALSE)</f>
        <v>Wed</v>
      </c>
      <c r="AA33" s="47">
        <f>INT(MOD(T33/10,10))</f>
        <v>4</v>
      </c>
      <c r="AB33" s="47" t="e">
        <f>VLOOKUP(J33,review2,9,FALSE)</f>
        <v>#N/A</v>
      </c>
      <c r="AC33" s="47"/>
      <c r="AD33" s="6">
        <v>14451</v>
      </c>
      <c r="AE33" s="6">
        <f>COUNTIF(review3_code,AD33)</f>
        <v>3</v>
      </c>
      <c r="AF33" s="54" t="str">
        <f>VLOOKUP(AD33,review3,10,FALSE)</f>
        <v>NhanDT35</v>
      </c>
      <c r="AG33" s="54" t="str">
        <f>VLOOKUP(AD33,review3,11,FALSE)</f>
        <v>PhuongLHK</v>
      </c>
      <c r="AH33" s="47" t="b">
        <f>OR(EXACT(AF33,H33),EXACT(AF33,I33),EXACT(AG33,H33),EXACT(AG33,I33))</f>
        <v>0</v>
      </c>
      <c r="AI33" s="47" t="b">
        <f>OR(EXACT(AF33,V33),EXACT(AF33,W33),EXACT(AG33,V33),EXACT(AG33,W33))</f>
        <v>0</v>
      </c>
      <c r="AJ33" s="53">
        <f>VLOOKUP(AD33,review3,7,FALSE)</f>
        <v>46134</v>
      </c>
      <c r="AK33" s="53" t="str">
        <f>VLOOKUP(AD33,review3,8,FALSE)</f>
        <v>Wed</v>
      </c>
      <c r="AL33" s="47">
        <f>VLOOKUP(AD33,review3,4,FALSE)</f>
        <v>5</v>
      </c>
      <c r="AM33" s="47" t="str">
        <f>VLOOKUP(AD33,review3,9,FALSE)</f>
        <v>NVH.301</v>
      </c>
      <c r="AN33" s="55"/>
      <c r="AO33" t="s">
        <v>687</v>
      </c>
      <c r="AP33" s="122"/>
      <c r="AQ33" s="47" t="e">
        <f>VLOOKUP(AP33,defense1_list,7,FALSE)</f>
        <v>#N/A</v>
      </c>
      <c r="AR33" s="57">
        <f>COUNTIF(defense1_forgroup_code,AP33)</f>
        <v>0</v>
      </c>
      <c r="AS33" s="4" t="b">
        <f>ISNUMBER(SEARCH(H33,AQ33))</f>
        <v>0</v>
      </c>
      <c r="AT33" s="4" t="b">
        <f>AND(NOT(ISBLANK(I33)),(ISNUMBER(SEARCH(I33,AQ33))))</f>
        <v>0</v>
      </c>
      <c r="AU33" s="4"/>
      <c r="AV33" s="47"/>
      <c r="AW33" s="47" t="s">
        <v>687</v>
      </c>
      <c r="AX33" s="47"/>
      <c r="AY33" s="47"/>
      <c r="AZ33" s="127">
        <v>104</v>
      </c>
      <c r="BA33" s="47" t="str">
        <f>VLOOKUP(AZ33,defense2_list,7,FALSE)</f>
        <v>PhuongLHK_NguyenTT15_NhanDT35_TriPT9_ThinhDP2</v>
      </c>
      <c r="BB33" s="57">
        <f>COUNTIF(defense2_forgroup_code,AZ33)</f>
        <v>9</v>
      </c>
      <c r="BC33" s="4" t="b">
        <f>ISNUMBER(SEARCH(H33,BA33))</f>
        <v>0</v>
      </c>
      <c r="BD33" s="4" t="b">
        <f>AND(NOT(ISBLANK(I33)),(ISNUMBER(SEARCH(I33,AZ33))))</f>
        <v>0</v>
      </c>
      <c r="BE33" s="4"/>
      <c r="BF33" s="47"/>
      <c r="BG33" s="47"/>
    </row>
    <row r="34" spans="1:59" ht="15" thickBot="1" x14ac:dyDescent="0.4">
      <c r="A34" s="47">
        <v>130</v>
      </c>
      <c r="B34" s="48"/>
      <c r="C34" s="49" t="s">
        <v>653</v>
      </c>
      <c r="D34" s="58" t="s">
        <v>630</v>
      </c>
      <c r="E34" s="14" t="s">
        <v>631</v>
      </c>
      <c r="F34" s="14" t="s">
        <v>632</v>
      </c>
      <c r="G34" s="49" t="s">
        <v>89</v>
      </c>
      <c r="H34" s="50" t="s">
        <v>12</v>
      </c>
      <c r="I34" s="51"/>
      <c r="J34" s="6">
        <v>4531</v>
      </c>
      <c r="K34" s="6">
        <f>COUNTIF(review1_code,J34)</f>
        <v>3</v>
      </c>
      <c r="L34" s="4" t="str">
        <f>VLOOKUP(J34,review1,10,FALSE)</f>
        <v>PhuongLHK</v>
      </c>
      <c r="M34" s="4" t="str">
        <f>VLOOKUP(J34,review1,11,FALSE)</f>
        <v>LongT5</v>
      </c>
      <c r="N34" s="47" t="b">
        <f>OR(EXACT(L34,H34),EXACT(L34,I34),EXACT(M34,H34),EXACT(M34,I34))</f>
        <v>0</v>
      </c>
      <c r="O34" s="52">
        <f>VLOOKUP(J34,review1,7,FALSE)</f>
        <v>46052</v>
      </c>
      <c r="P34" s="52" t="str">
        <f>VLOOKUP(J34,review1,8,FALSE)</f>
        <v>Fri</v>
      </c>
      <c r="Q34" s="47">
        <f>INT(MOD(J34/10,10))</f>
        <v>3</v>
      </c>
      <c r="R34" s="47" t="str">
        <f>VLOOKUP(J34,review1,9,FALSE)</f>
        <v>NVH G.01</v>
      </c>
      <c r="S34" s="47">
        <f>J34+4000</f>
        <v>8531</v>
      </c>
      <c r="T34" s="6">
        <v>8531</v>
      </c>
      <c r="U34" s="6">
        <f>COUNTIF(review2_code,T34)</f>
        <v>3</v>
      </c>
      <c r="V34" s="4" t="str">
        <f>VLOOKUP(T34,review2,10,FALSE)</f>
        <v>PhuongLHK</v>
      </c>
      <c r="W34" s="4" t="str">
        <f>VLOOKUP(T34,review2,11,FALSE)</f>
        <v>LongT5</v>
      </c>
      <c r="X34" s="4" t="b">
        <f>OR(EXACT(V34,H34),EXACT(V34,I34),EXACT(W34,H34),EXACT(W34,I34))</f>
        <v>0</v>
      </c>
      <c r="Y34" s="53">
        <f>VLOOKUP(T34,review2,7,FALSE)</f>
        <v>46093</v>
      </c>
      <c r="Z34" s="53" t="str">
        <f>VLOOKUP(T34,review2,8,FALSE)</f>
        <v>Thu</v>
      </c>
      <c r="AA34" s="47">
        <f>INT(MOD(T34/10,10))</f>
        <v>3</v>
      </c>
      <c r="AB34" s="47" t="e">
        <f>VLOOKUP(J34,review2,9,FALSE)</f>
        <v>#N/A</v>
      </c>
      <c r="AC34" s="47"/>
      <c r="AD34" s="6">
        <v>14542</v>
      </c>
      <c r="AE34" s="6">
        <f>COUNTIF(review3_code,AD34)</f>
        <v>3</v>
      </c>
      <c r="AF34" s="54" t="str">
        <f>VLOOKUP(AD34,review3,10,FALSE)</f>
        <v>HuongNTC2</v>
      </c>
      <c r="AG34" s="54" t="str">
        <f>VLOOKUP(AD34,review3,11,FALSE)</f>
        <v>HoangNT20</v>
      </c>
      <c r="AH34" s="47" t="b">
        <f>OR(EXACT(AF34,H34),EXACT(AF34,I34),EXACT(AG34,H34),EXACT(AG34,I34))</f>
        <v>0</v>
      </c>
      <c r="AI34" s="47" t="b">
        <f>OR(EXACT(AF34,V34),EXACT(AF34,W34),EXACT(AG34,V34),EXACT(AG34,W34))</f>
        <v>0</v>
      </c>
      <c r="AJ34" s="53">
        <f>VLOOKUP(AD34,review3,7,FALSE)</f>
        <v>46135</v>
      </c>
      <c r="AK34" s="53" t="str">
        <f>VLOOKUP(AD34,review3,8,FALSE)</f>
        <v>Thu</v>
      </c>
      <c r="AL34" s="47">
        <f>VLOOKUP(AD34,review3,4,FALSE)</f>
        <v>4</v>
      </c>
      <c r="AM34" s="47" t="str">
        <f>VLOOKUP(AD34,review3,9,FALSE)</f>
        <v>NVH.414</v>
      </c>
      <c r="AN34" s="55"/>
      <c r="AO34" t="s">
        <v>687</v>
      </c>
      <c r="AP34" s="122"/>
      <c r="AQ34" s="47" t="e">
        <f>VLOOKUP(AP34,defense1_list,7,FALSE)</f>
        <v>#N/A</v>
      </c>
      <c r="AR34" s="57">
        <f>COUNTIF(defense1_forgroup_code,AP34)</f>
        <v>0</v>
      </c>
      <c r="AS34" s="4" t="b">
        <f>ISNUMBER(SEARCH(H34,AQ34))</f>
        <v>0</v>
      </c>
      <c r="AT34" s="4" t="b">
        <f>AND(NOT(ISBLANK(I34)),(ISNUMBER(SEARCH(I34,AQ34))))</f>
        <v>0</v>
      </c>
      <c r="AU34" s="4"/>
      <c r="AV34" s="47"/>
      <c r="AW34" s="47" t="s">
        <v>687</v>
      </c>
      <c r="AX34" s="47"/>
      <c r="AY34" s="47"/>
      <c r="AZ34" s="127">
        <v>104</v>
      </c>
      <c r="BA34" s="47" t="str">
        <f>VLOOKUP(AZ34,defense2_list,7,FALSE)</f>
        <v>PhuongLHK_NguyenTT15_NhanDT35_TriPT9_ThinhDP2</v>
      </c>
      <c r="BB34" s="57">
        <f>COUNTIF(defense2_forgroup_code,AZ34)</f>
        <v>9</v>
      </c>
      <c r="BC34" s="4" t="b">
        <f>ISNUMBER(SEARCH(H34,BA34))</f>
        <v>0</v>
      </c>
      <c r="BD34" s="4" t="b">
        <f>AND(NOT(ISBLANK(I34)),(ISNUMBER(SEARCH(I34,AZ34))))</f>
        <v>0</v>
      </c>
      <c r="BE34" s="4"/>
      <c r="BF34" s="47"/>
      <c r="BG34" s="47"/>
    </row>
    <row r="35" spans="1:59" ht="15" thickBot="1" x14ac:dyDescent="0.4">
      <c r="A35" s="47">
        <v>131</v>
      </c>
      <c r="B35" s="48"/>
      <c r="C35" s="49" t="s">
        <v>214</v>
      </c>
      <c r="D35" s="58" t="s">
        <v>215</v>
      </c>
      <c r="E35" s="14" t="s">
        <v>216</v>
      </c>
      <c r="F35" s="14" t="s">
        <v>217</v>
      </c>
      <c r="G35" s="49" t="s">
        <v>80</v>
      </c>
      <c r="H35" s="50" t="s">
        <v>19</v>
      </c>
      <c r="I35" s="51"/>
      <c r="J35" s="6">
        <v>3544</v>
      </c>
      <c r="K35" s="6">
        <f>COUNTIF(review1_code,J35)</f>
        <v>3</v>
      </c>
      <c r="L35" s="4" t="str">
        <f>VLOOKUP(J35,review1,10,FALSE)</f>
        <v>HuongNTC2</v>
      </c>
      <c r="M35" s="4" t="str">
        <f>VLOOKUP(J35,review1,11,FALSE)</f>
        <v>LamNN15</v>
      </c>
      <c r="N35" s="47" t="b">
        <f>OR(EXACT(L35,H35),EXACT(L35,I35),EXACT(M35,H35),EXACT(M35,I35))</f>
        <v>0</v>
      </c>
      <c r="O35" s="52">
        <f>VLOOKUP(J35,review1,7,FALSE)</f>
        <v>46045</v>
      </c>
      <c r="P35" s="52" t="str">
        <f>VLOOKUP(J35,review1,8,FALSE)</f>
        <v>Fri</v>
      </c>
      <c r="Q35" s="47">
        <f>INT(MOD(J35/10,10))</f>
        <v>4</v>
      </c>
      <c r="R35" s="47" t="str">
        <f>VLOOKUP(J35,review1,9,FALSE)</f>
        <v>NVH G.04</v>
      </c>
      <c r="S35" s="47">
        <f>J35+4000</f>
        <v>7544</v>
      </c>
      <c r="T35" s="6">
        <v>7544</v>
      </c>
      <c r="U35" s="6">
        <f>COUNTIF(review2_code,T35)</f>
        <v>3</v>
      </c>
      <c r="V35" s="4" t="str">
        <f>VLOOKUP(T35,review2,10,FALSE)</f>
        <v>HuongNTC2</v>
      </c>
      <c r="W35" s="4" t="str">
        <f>VLOOKUP(T35,review2,11,FALSE)</f>
        <v>LamNN15</v>
      </c>
      <c r="X35" s="4" t="b">
        <f>OR(EXACT(V35,H35),EXACT(V35,I35),EXACT(W35,H35),EXACT(W35,I35))</f>
        <v>0</v>
      </c>
      <c r="Y35" s="53">
        <f>VLOOKUP(T35,review2,7,FALSE)</f>
        <v>46086</v>
      </c>
      <c r="Z35" s="53" t="str">
        <f>VLOOKUP(T35,review2,8,FALSE)</f>
        <v>Thu</v>
      </c>
      <c r="AA35" s="47">
        <f>INT(MOD(T35/10,10))</f>
        <v>4</v>
      </c>
      <c r="AB35" s="47" t="e">
        <f>VLOOKUP(J35,review2,9,FALSE)</f>
        <v>#N/A</v>
      </c>
      <c r="AC35" s="47"/>
      <c r="AD35" s="6">
        <v>14651</v>
      </c>
      <c r="AE35" s="6">
        <f>COUNTIF(review3_code,AD35)</f>
        <v>3</v>
      </c>
      <c r="AF35" s="54" t="str">
        <f>VLOOKUP(AD35,review3,10,FALSE)</f>
        <v>PhuongLHK</v>
      </c>
      <c r="AG35" s="54" t="str">
        <f>VLOOKUP(AD35,review3,11,FALSE)</f>
        <v>NhanDT35</v>
      </c>
      <c r="AH35" s="47" t="b">
        <f>OR(EXACT(AF35,H35),EXACT(AF35,I35),EXACT(AG35,H35),EXACT(AG35,I35))</f>
        <v>0</v>
      </c>
      <c r="AI35" s="47" t="b">
        <f>OR(EXACT(AF35,V35),EXACT(AF35,W35),EXACT(AG35,V35),EXACT(AG35,W35))</f>
        <v>0</v>
      </c>
      <c r="AJ35" s="53">
        <f>VLOOKUP(AD35,review3,7,FALSE)</f>
        <v>46136</v>
      </c>
      <c r="AK35" s="53" t="str">
        <f>VLOOKUP(AD35,review3,8,FALSE)</f>
        <v>Fri</v>
      </c>
      <c r="AL35" s="47">
        <f>VLOOKUP(AD35,review3,4,FALSE)</f>
        <v>5</v>
      </c>
      <c r="AM35" s="47" t="str">
        <f>VLOOKUP(AD35,review3,9,FALSE)</f>
        <v>NVH.301</v>
      </c>
      <c r="AN35" s="55"/>
      <c r="AO35" t="s">
        <v>688</v>
      </c>
      <c r="AP35" s="56">
        <v>304</v>
      </c>
      <c r="AQ35" s="47" t="str">
        <f>VLOOKUP(AP35,defense1_list,7,FALSE)</f>
        <v>PhuongLHK_PhucNT40_SangNM18_VuLNS_NhanDT35</v>
      </c>
      <c r="AR35" s="57">
        <f>COUNTIF(defense1_forgroup_code,AP35)</f>
        <v>7</v>
      </c>
      <c r="AS35" s="4" t="b">
        <f>ISNUMBER(SEARCH(H35,AQ35))</f>
        <v>0</v>
      </c>
      <c r="AT35" s="4" t="b">
        <f>AND(NOT(ISBLANK(I35)),(ISNUMBER(SEARCH(I35,AQ35))))</f>
        <v>0</v>
      </c>
      <c r="AU35" s="4" t="b">
        <f>(IFERROR(SEARCH(AF35,AQ35),0)+IFERROR(SEARCH(AG35,AQ35),0))&gt;0</f>
        <v>1</v>
      </c>
      <c r="AV35" s="47"/>
      <c r="AW35" s="47" t="s">
        <v>689</v>
      </c>
      <c r="AX35" s="47"/>
      <c r="AY35" s="47"/>
      <c r="AZ35" s="127">
        <v>104</v>
      </c>
      <c r="BA35" s="47" t="str">
        <f>VLOOKUP(AZ35,defense2_list,7,FALSE)</f>
        <v>PhuongLHK_NguyenTT15_NhanDT35_TriPT9_ThinhDP2</v>
      </c>
      <c r="BB35" s="57">
        <f>COUNTIF(defense2_forgroup_code,AZ35)</f>
        <v>9</v>
      </c>
      <c r="BC35" s="4" t="b">
        <f>ISNUMBER(SEARCH(H35,BA35))</f>
        <v>0</v>
      </c>
      <c r="BD35" s="4" t="b">
        <f>AND(NOT(ISBLANK(I35)),(ISNUMBER(SEARCH(I35,AZ35))))</f>
        <v>0</v>
      </c>
      <c r="BE35" s="4"/>
      <c r="BF35" s="47"/>
      <c r="BG35" s="47"/>
    </row>
    <row r="36" spans="1:59" ht="15" thickBot="1" x14ac:dyDescent="0.4">
      <c r="A36" s="47">
        <v>113</v>
      </c>
      <c r="B36" s="48"/>
      <c r="C36" s="49" t="s">
        <v>261</v>
      </c>
      <c r="D36" s="58" t="s">
        <v>262</v>
      </c>
      <c r="E36" s="14" t="s">
        <v>263</v>
      </c>
      <c r="F36" s="14" t="s">
        <v>264</v>
      </c>
      <c r="G36" s="49" t="s">
        <v>526</v>
      </c>
      <c r="H36" s="50" t="s">
        <v>15</v>
      </c>
      <c r="I36" s="51"/>
      <c r="J36" s="6">
        <v>4441</v>
      </c>
      <c r="K36" s="6">
        <f>COUNTIF(review1_code,J36)</f>
        <v>3</v>
      </c>
      <c r="L36" s="74" t="str">
        <f>VLOOKUP(J36,review1,10,FALSE)</f>
        <v>DucDNM2</v>
      </c>
      <c r="M36" s="74" t="str">
        <f>VLOOKUP(J36,review1,11,FALSE)</f>
        <v>VanTTN2</v>
      </c>
      <c r="N36" s="47" t="b">
        <f>OR(EXACT(L36,H36),EXACT(L36,I36),EXACT(M36,H36),EXACT(M36,I36))</f>
        <v>0</v>
      </c>
      <c r="O36" s="52">
        <f>VLOOKUP(J36,review1,7,FALSE)</f>
        <v>46051</v>
      </c>
      <c r="P36" s="52" t="str">
        <f>VLOOKUP(J36,review1,8,FALSE)</f>
        <v>Thu</v>
      </c>
      <c r="Q36" s="47">
        <f>INT(MOD(J36/10,10))</f>
        <v>4</v>
      </c>
      <c r="R36" s="47" t="str">
        <f>VLOOKUP(J36,review1,9,FALSE)</f>
        <v>LB21 (Thư viên Campus)</v>
      </c>
      <c r="S36" s="47">
        <f>J36+4000</f>
        <v>8441</v>
      </c>
      <c r="T36" s="6">
        <v>8441</v>
      </c>
      <c r="U36" s="6">
        <f>COUNTIF(review2_code,T36)</f>
        <v>3</v>
      </c>
      <c r="V36" s="4" t="str">
        <f>VLOOKUP(T36,review2,10,FALSE)</f>
        <v>DucDNM2</v>
      </c>
      <c r="W36" s="4" t="str">
        <f>VLOOKUP(T36,review2,11,FALSE)</f>
        <v>VanTTN2</v>
      </c>
      <c r="X36" s="4" t="b">
        <f>OR(EXACT(V36,H36),EXACT(V36,I36),EXACT(W36,H36),EXACT(W36,I36))</f>
        <v>0</v>
      </c>
      <c r="Y36" s="53">
        <f>VLOOKUP(T36,review2,7,FALSE)</f>
        <v>46092</v>
      </c>
      <c r="Z36" s="53" t="str">
        <f>VLOOKUP(T36,review2,8,FALSE)</f>
        <v>Wed</v>
      </c>
      <c r="AA36" s="47">
        <f>INT(MOD(T36/10,10))</f>
        <v>4</v>
      </c>
      <c r="AB36" s="47" t="e">
        <f>VLOOKUP(J36,review2,9,FALSE)</f>
        <v>#N/A</v>
      </c>
      <c r="AC36" s="47"/>
      <c r="AD36" s="6">
        <v>14512</v>
      </c>
      <c r="AE36" s="6">
        <f>COUNTIF(review3_code,AD36)</f>
        <v>3</v>
      </c>
      <c r="AF36" s="54" t="str">
        <f>VLOOKUP(AD36,review3,10,FALSE)</f>
        <v>TaiNT51</v>
      </c>
      <c r="AG36" s="54" t="str">
        <f>VLOOKUP(AD36,review3,11,FALSE)</f>
        <v>PhuongLHK</v>
      </c>
      <c r="AH36" s="47" t="b">
        <f>OR(EXACT(AF36,H36),EXACT(AF36,I36),EXACT(AG36,H36),EXACT(AG36,I36))</f>
        <v>0</v>
      </c>
      <c r="AI36" s="47" t="b">
        <f>OR(EXACT(AF36,V36),EXACT(AF36,W36),EXACT(AG36,V36),EXACT(AG36,W36))</f>
        <v>0</v>
      </c>
      <c r="AJ36" s="53">
        <f>VLOOKUP(AD36,review3,7,FALSE)</f>
        <v>46135</v>
      </c>
      <c r="AK36" s="53" t="str">
        <f>VLOOKUP(AD36,review3,8,FALSE)</f>
        <v>Thu</v>
      </c>
      <c r="AL36" s="47">
        <f>VLOOKUP(AD36,review3,4,FALSE)</f>
        <v>1</v>
      </c>
      <c r="AM36" s="47" t="str">
        <f>VLOOKUP(AD36,review3,9,FALSE)</f>
        <v>NVH.415</v>
      </c>
      <c r="AN36" s="55"/>
      <c r="AO36" t="s">
        <v>688</v>
      </c>
      <c r="AP36" s="56">
        <v>404</v>
      </c>
      <c r="AQ36" s="47" t="str">
        <f>VLOOKUP(AP36,defense1_list,7,FALSE)</f>
        <v>PhuongLHK_HungLD5_NhanDT35_VuLNS_TamPM</v>
      </c>
      <c r="AR36" s="57">
        <f>COUNTIF(defense1_forgroup_code,AP36)</f>
        <v>7</v>
      </c>
      <c r="AS36" s="4" t="b">
        <f>ISNUMBER(SEARCH(H36,AQ36))</f>
        <v>0</v>
      </c>
      <c r="AT36" s="4" t="b">
        <f>AND(NOT(ISBLANK(I36)),(ISNUMBER(SEARCH(I36,AQ36))))</f>
        <v>0</v>
      </c>
      <c r="AU36" s="4" t="b">
        <f>(IFERROR(SEARCH(AF36,AQ36),0)+IFERROR(SEARCH(AG36,AQ36),0))&gt;0</f>
        <v>1</v>
      </c>
      <c r="AV36" s="47"/>
      <c r="AW36" s="47" t="s">
        <v>689</v>
      </c>
      <c r="AX36" s="47"/>
      <c r="AY36" s="47"/>
      <c r="AZ36" s="127">
        <v>104</v>
      </c>
      <c r="BA36" s="47" t="str">
        <f>VLOOKUP(AZ36,defense2_list,7,FALSE)</f>
        <v>PhuongLHK_NguyenTT15_NhanDT35_TriPT9_ThinhDP2</v>
      </c>
      <c r="BB36" s="57">
        <f>COUNTIF(defense2_forgroup_code,AZ36)</f>
        <v>9</v>
      </c>
      <c r="BC36" s="4" t="b">
        <f>ISNUMBER(SEARCH(H36,BA36))</f>
        <v>0</v>
      </c>
      <c r="BD36" s="4" t="b">
        <f>AND(NOT(ISBLANK(I36)),(ISNUMBER(SEARCH(I36,AZ36))))</f>
        <v>0</v>
      </c>
      <c r="BE36" s="4"/>
      <c r="BF36" s="47"/>
      <c r="BG36" s="47"/>
    </row>
    <row r="37" spans="1:59" ht="15" thickBot="1" x14ac:dyDescent="0.4">
      <c r="A37" s="47">
        <v>62</v>
      </c>
      <c r="B37" s="48"/>
      <c r="C37" s="49" t="s">
        <v>488</v>
      </c>
      <c r="D37" s="58" t="s">
        <v>489</v>
      </c>
      <c r="E37" s="121" t="s">
        <v>490</v>
      </c>
      <c r="F37" s="121" t="s">
        <v>491</v>
      </c>
      <c r="G37" s="49" t="s">
        <v>73</v>
      </c>
      <c r="H37" s="50" t="s">
        <v>20</v>
      </c>
      <c r="I37" s="51"/>
      <c r="J37" s="6">
        <v>4351</v>
      </c>
      <c r="K37" s="6">
        <f>COUNTIF(review1_code,J37)</f>
        <v>3</v>
      </c>
      <c r="L37" s="4" t="str">
        <f>VLOOKUP(J37,review1,10,FALSE)</f>
        <v>PhuongLHK</v>
      </c>
      <c r="M37" s="4" t="str">
        <f>VLOOKUP(J37,review1,11,FALSE)</f>
        <v>TamPM</v>
      </c>
      <c r="N37" s="47" t="b">
        <f>OR(EXACT(L37,H37),EXACT(L37,I37),EXACT(M37,H37),EXACT(M37,I37))</f>
        <v>0</v>
      </c>
      <c r="O37" s="52">
        <f>VLOOKUP(J37,review1,7,FALSE)</f>
        <v>46050</v>
      </c>
      <c r="P37" s="52" t="str">
        <f>VLOOKUP(J37,review1,8,FALSE)</f>
        <v>Wed</v>
      </c>
      <c r="Q37" s="47">
        <f>INT(MOD(J37/10,10))</f>
        <v>5</v>
      </c>
      <c r="R37" s="47" t="str">
        <f>VLOOKUP(J37,review1,9,FALSE)</f>
        <v>NVH G.01</v>
      </c>
      <c r="S37" s="47">
        <f>J37+4000</f>
        <v>8351</v>
      </c>
      <c r="T37" s="6">
        <v>8351</v>
      </c>
      <c r="U37" s="6">
        <f>COUNTIF(review2_code,T37)</f>
        <v>3</v>
      </c>
      <c r="V37" s="4" t="str">
        <f>VLOOKUP(T37,review2,10,FALSE)</f>
        <v>PhuongLHK</v>
      </c>
      <c r="W37" s="4" t="str">
        <f>VLOOKUP(T37,review2,11,FALSE)</f>
        <v>TamPM</v>
      </c>
      <c r="X37" s="4" t="b">
        <f>OR(EXACT(V37,H37),EXACT(V37,I37),EXACT(W37,H37),EXACT(W37,I37))</f>
        <v>0</v>
      </c>
      <c r="Y37" s="53">
        <f>VLOOKUP(T37,review2,7,FALSE)</f>
        <v>46091</v>
      </c>
      <c r="Z37" s="53" t="str">
        <f>VLOOKUP(T37,review2,8,FALSE)</f>
        <v>Tue</v>
      </c>
      <c r="AA37" s="47">
        <f>INT(MOD(T37/10,10))</f>
        <v>5</v>
      </c>
      <c r="AB37" s="47" t="e">
        <f>VLOOKUP(J37,review2,9,FALSE)</f>
        <v>#N/A</v>
      </c>
      <c r="AC37" s="47"/>
      <c r="AD37" s="6">
        <v>14543</v>
      </c>
      <c r="AE37" s="6">
        <f>COUNTIF(review3_code,AD37)</f>
        <v>3</v>
      </c>
      <c r="AF37" s="54" t="str">
        <f>VLOOKUP(AD37,review3,10,FALSE)</f>
        <v>TaiNT51</v>
      </c>
      <c r="AG37" s="54" t="str">
        <f>VLOOKUP(AD37,review3,11,FALSE)</f>
        <v>TriPT9</v>
      </c>
      <c r="AH37" s="47" t="b">
        <f>OR(EXACT(AF37,H37),EXACT(AF37,I37),EXACT(AG37,H37),EXACT(AG37,I37))</f>
        <v>0</v>
      </c>
      <c r="AI37" s="47" t="b">
        <f>OR(EXACT(AF37,V37),EXACT(AF37,W37),EXACT(AG37,V37),EXACT(AG37,W37))</f>
        <v>0</v>
      </c>
      <c r="AJ37" s="53">
        <f>VLOOKUP(AD37,review3,7,FALSE)</f>
        <v>46135</v>
      </c>
      <c r="AK37" s="53" t="str">
        <f>VLOOKUP(AD37,review3,8,FALSE)</f>
        <v>Thu</v>
      </c>
      <c r="AL37" s="47">
        <f>VLOOKUP(AD37,review3,4,FALSE)</f>
        <v>4</v>
      </c>
      <c r="AM37" s="47" t="str">
        <f>VLOOKUP(AD37,review3,9,FALSE)</f>
        <v>NVH.415</v>
      </c>
      <c r="AN37" s="55"/>
      <c r="AO37" t="s">
        <v>688</v>
      </c>
      <c r="AP37" s="124">
        <v>204</v>
      </c>
      <c r="AQ37" s="106" t="str">
        <f>VLOOKUP(AP37,defense1_list,7,FALSE)</f>
        <v>PhuongLHK_PhucNT40_VuLNS_MinhTTH5_ThinhDP2</v>
      </c>
      <c r="AR37" s="57">
        <f>COUNTIF(defense1_forgroup_code,AP37)</f>
        <v>8</v>
      </c>
      <c r="AS37" s="4" t="b">
        <f>ISNUMBER(SEARCH(H37,AQ37))</f>
        <v>0</v>
      </c>
      <c r="AT37" s="4" t="b">
        <f>AND(NOT(ISBLANK(I37)),(ISNUMBER(SEARCH(I37,AQ37))))</f>
        <v>0</v>
      </c>
      <c r="AU37" s="4" t="b">
        <f>(IFERROR(SEARCH(AF37,AQ37),0)+IFERROR(SEARCH(AG37,AQ37),0))&gt;0</f>
        <v>0</v>
      </c>
      <c r="AV37" s="47"/>
      <c r="AW37" s="47" t="s">
        <v>689</v>
      </c>
      <c r="AX37" s="47"/>
      <c r="AY37" s="47"/>
      <c r="AZ37" s="129">
        <v>104</v>
      </c>
      <c r="BA37" s="47" t="str">
        <f>VLOOKUP(AZ37,defense2_list,7,FALSE)</f>
        <v>PhuongLHK_NguyenTT15_NhanDT35_TriPT9_ThinhDP2</v>
      </c>
      <c r="BB37" s="57">
        <f>COUNTIF(defense2_forgroup_code,AZ37)</f>
        <v>9</v>
      </c>
      <c r="BC37" s="4" t="b">
        <f>ISNUMBER(SEARCH(H37,BA37))</f>
        <v>0</v>
      </c>
      <c r="BD37" s="4" t="b">
        <f>AND(NOT(ISBLANK(I37)),(ISNUMBER(SEARCH(I37,AZ37))))</f>
        <v>0</v>
      </c>
      <c r="BE37" s="4"/>
      <c r="BF37" s="47"/>
      <c r="BG37" s="47"/>
    </row>
    <row r="38" spans="1:59" ht="29.5" thickBot="1" x14ac:dyDescent="0.4">
      <c r="A38" s="47">
        <v>86</v>
      </c>
      <c r="B38" s="48"/>
      <c r="C38" s="49" t="s">
        <v>484</v>
      </c>
      <c r="D38" s="58" t="s">
        <v>485</v>
      </c>
      <c r="E38" s="121" t="s">
        <v>486</v>
      </c>
      <c r="F38" s="121" t="s">
        <v>487</v>
      </c>
      <c r="G38" s="49" t="s">
        <v>74</v>
      </c>
      <c r="H38" s="50" t="s">
        <v>75</v>
      </c>
      <c r="I38" s="51"/>
      <c r="J38" s="6">
        <v>4342</v>
      </c>
      <c r="K38" s="6">
        <f>COUNTIF(review1_code,J38)</f>
        <v>3</v>
      </c>
      <c r="L38" s="4" t="str">
        <f>VLOOKUP(J38,review1,10,FALSE)</f>
        <v>TamPM</v>
      </c>
      <c r="M38" s="4" t="str">
        <f>VLOOKUP(J38,review1,11,FALSE)</f>
        <v>TriPT9</v>
      </c>
      <c r="N38" s="47" t="b">
        <f>OR(EXACT(L38,H38),EXACT(L38,I38),EXACT(M38,H38),EXACT(M38,I38))</f>
        <v>0</v>
      </c>
      <c r="O38" s="52">
        <f>VLOOKUP(J38,review1,7,FALSE)</f>
        <v>46050</v>
      </c>
      <c r="P38" s="52" t="str">
        <f>VLOOKUP(J38,review1,8,FALSE)</f>
        <v>Wed</v>
      </c>
      <c r="Q38" s="47">
        <f>INT(MOD(J38/10,10))</f>
        <v>4</v>
      </c>
      <c r="R38" s="47" t="str">
        <f>VLOOKUP(J38,review1,9,FALSE)</f>
        <v>NVH G.02</v>
      </c>
      <c r="S38" s="47">
        <f>J38+4000</f>
        <v>8342</v>
      </c>
      <c r="T38" s="6">
        <v>8342</v>
      </c>
      <c r="U38" s="6">
        <f>COUNTIF(review2_code,T38)</f>
        <v>3</v>
      </c>
      <c r="V38" s="4" t="str">
        <f>VLOOKUP(T38,review2,10,FALSE)</f>
        <v>TamPM</v>
      </c>
      <c r="W38" s="4" t="str">
        <f>VLOOKUP(T38,review2,11,FALSE)</f>
        <v>TriPT9</v>
      </c>
      <c r="X38" s="4" t="b">
        <f>OR(EXACT(V38,H38),EXACT(V38,I38),EXACT(W38,H38),EXACT(W38,I38))</f>
        <v>0</v>
      </c>
      <c r="Y38" s="53">
        <f>VLOOKUP(T38,review2,7,FALSE)</f>
        <v>46091</v>
      </c>
      <c r="Z38" s="53" t="str">
        <f>VLOOKUP(T38,review2,8,FALSE)</f>
        <v>Tue</v>
      </c>
      <c r="AA38" s="47">
        <f>INT(MOD(T38/10,10))</f>
        <v>4</v>
      </c>
      <c r="AB38" s="47" t="e">
        <f>VLOOKUP(J38,review2,9,FALSE)</f>
        <v>#N/A</v>
      </c>
      <c r="AC38" s="47"/>
      <c r="AD38" s="6">
        <v>14213</v>
      </c>
      <c r="AE38" s="6">
        <f>COUNTIF(review3_code,AD38)</f>
        <v>3</v>
      </c>
      <c r="AF38" s="54" t="str">
        <f>VLOOKUP(AD38,review3,10,FALSE)</f>
        <v>PhuongLHK</v>
      </c>
      <c r="AG38" s="54" t="str">
        <f>VLOOKUP(AD38,review3,11,FALSE)</f>
        <v>MinhTTH5</v>
      </c>
      <c r="AH38" s="47" t="b">
        <f>OR(EXACT(AF38,H38),EXACT(AF38,I38),EXACT(AG38,H38),EXACT(AG38,I38))</f>
        <v>0</v>
      </c>
      <c r="AI38" s="47" t="b">
        <f>OR(EXACT(AF38,V38),EXACT(AF38,W38),EXACT(AG38,V38),EXACT(AG38,W38))</f>
        <v>0</v>
      </c>
      <c r="AJ38" s="53">
        <f>VLOOKUP(AD38,review3,7,FALSE)</f>
        <v>46132</v>
      </c>
      <c r="AK38" s="53" t="str">
        <f>VLOOKUP(AD38,review3,8,FALSE)</f>
        <v>Mon</v>
      </c>
      <c r="AL38" s="47">
        <f>VLOOKUP(AD38,review3,4,FALSE)</f>
        <v>1</v>
      </c>
      <c r="AM38" s="47" t="str">
        <f>VLOOKUP(AD38,review3,9,FALSE)</f>
        <v>NVH.301</v>
      </c>
      <c r="AN38" s="55"/>
      <c r="AO38" t="s">
        <v>688</v>
      </c>
      <c r="AP38" s="122">
        <v>404</v>
      </c>
      <c r="AQ38" s="47" t="str">
        <f>VLOOKUP(AP38,defense1_list,7,FALSE)</f>
        <v>PhuongLHK_HungLD5_NhanDT35_VuLNS_TamPM</v>
      </c>
      <c r="AR38" s="57">
        <f>COUNTIF(defense1_forgroup_code,AP38)</f>
        <v>7</v>
      </c>
      <c r="AS38" s="4" t="b">
        <f>ISNUMBER(SEARCH(H38,AQ38))</f>
        <v>0</v>
      </c>
      <c r="AT38" s="4" t="b">
        <f>AND(NOT(ISBLANK(I38)),(ISNUMBER(SEARCH(I38,AQ38))))</f>
        <v>0</v>
      </c>
      <c r="AU38" s="4" t="b">
        <f>(IFERROR(SEARCH(AF38,AQ38),0)+IFERROR(SEARCH(AG38,AQ38),0))&gt;0</f>
        <v>1</v>
      </c>
      <c r="AV38" s="47"/>
      <c r="AW38" s="47" t="s">
        <v>689</v>
      </c>
      <c r="AX38" s="47"/>
      <c r="AY38" s="47"/>
      <c r="AZ38" s="129">
        <v>104</v>
      </c>
      <c r="BA38" s="47" t="str">
        <f>VLOOKUP(AZ38,defense2_list,7,FALSE)</f>
        <v>PhuongLHK_NguyenTT15_NhanDT35_TriPT9_ThinhDP2</v>
      </c>
      <c r="BB38" s="57">
        <f>COUNTIF(defense2_forgroup_code,AZ38)</f>
        <v>9</v>
      </c>
      <c r="BC38" s="4" t="b">
        <f>ISNUMBER(SEARCH(H38,BA38))</f>
        <v>0</v>
      </c>
      <c r="BD38" s="4" t="b">
        <f>AND(NOT(ISBLANK(I38)),(ISNUMBER(SEARCH(I38,AZ38))))</f>
        <v>0</v>
      </c>
      <c r="BE38" s="4"/>
      <c r="BF38" s="47"/>
      <c r="BG38" s="47"/>
    </row>
    <row r="39" spans="1:59" ht="15" thickBot="1" x14ac:dyDescent="0.4">
      <c r="A39" s="47">
        <v>77</v>
      </c>
      <c r="B39" s="48"/>
      <c r="C39" s="49" t="s">
        <v>456</v>
      </c>
      <c r="D39" s="58" t="s">
        <v>457</v>
      </c>
      <c r="E39" s="14" t="s">
        <v>458</v>
      </c>
      <c r="F39" s="14" t="s">
        <v>459</v>
      </c>
      <c r="G39" s="49" t="s">
        <v>628</v>
      </c>
      <c r="H39" s="50" t="s">
        <v>12</v>
      </c>
      <c r="I39" s="51" t="s">
        <v>646</v>
      </c>
      <c r="J39" s="6">
        <v>4341</v>
      </c>
      <c r="K39" s="6">
        <f>COUNTIF(review1_code,J39)</f>
        <v>3</v>
      </c>
      <c r="L39" s="4" t="str">
        <f>VLOOKUP(J39,review1,10,FALSE)</f>
        <v>NhanDT35</v>
      </c>
      <c r="M39" s="4" t="str">
        <f>VLOOKUP(J39,review1,11,FALSE)</f>
        <v>NguyenTT15</v>
      </c>
      <c r="N39" s="47" t="b">
        <f>OR(EXACT(L39,H39),EXACT(L39,I39),EXACT(M39,H39),EXACT(M39,I39))</f>
        <v>0</v>
      </c>
      <c r="O39" s="52">
        <f>VLOOKUP(J39,review1,7,FALSE)</f>
        <v>46050</v>
      </c>
      <c r="P39" s="52" t="str">
        <f>VLOOKUP(J39,review1,8,FALSE)</f>
        <v>Wed</v>
      </c>
      <c r="Q39" s="47">
        <f>INT(MOD(J39/10,10))</f>
        <v>4</v>
      </c>
      <c r="R39" s="47" t="str">
        <f>VLOOKUP(J39,review1,9,FALSE)</f>
        <v>NVH G.01</v>
      </c>
      <c r="S39" s="47">
        <f>J39+4000</f>
        <v>8341</v>
      </c>
      <c r="T39" s="6">
        <v>8341</v>
      </c>
      <c r="U39" s="6">
        <f>COUNTIF(review2_code,T39)</f>
        <v>3</v>
      </c>
      <c r="V39" s="4" t="str">
        <f>VLOOKUP(T39,review2,10,FALSE)</f>
        <v>NhanDT35</v>
      </c>
      <c r="W39" s="4" t="str">
        <f>VLOOKUP(T39,review2,11,FALSE)</f>
        <v>NguyenTT15</v>
      </c>
      <c r="X39" s="4" t="b">
        <f>OR(EXACT(V39,H39),EXACT(V39,I39),EXACT(W39,H39),EXACT(W39,I39))</f>
        <v>0</v>
      </c>
      <c r="Y39" s="53">
        <f>VLOOKUP(T39,review2,7,FALSE)</f>
        <v>46091</v>
      </c>
      <c r="Z39" s="53" t="str">
        <f>VLOOKUP(T39,review2,8,FALSE)</f>
        <v>Tue</v>
      </c>
      <c r="AA39" s="47">
        <f>INT(MOD(T39/10,10))</f>
        <v>4</v>
      </c>
      <c r="AB39" s="47" t="e">
        <f>VLOOKUP(J39,review2,9,FALSE)</f>
        <v>#N/A</v>
      </c>
      <c r="AC39" s="47"/>
      <c r="AD39" s="6">
        <v>14341</v>
      </c>
      <c r="AE39" s="6">
        <f>COUNTIF(review3_code,AD39)</f>
        <v>3</v>
      </c>
      <c r="AF39" s="54" t="str">
        <f>VLOOKUP(AD39,review3,10,FALSE)</f>
        <v>TamPM</v>
      </c>
      <c r="AG39" s="54" t="str">
        <f>VLOOKUP(AD39,review3,11,FALSE)</f>
        <v>LamNN15</v>
      </c>
      <c r="AH39" s="47" t="b">
        <f>OR(EXACT(AF39,H39),EXACT(AF39,I39),EXACT(AG39,H39),EXACT(AG39,I39))</f>
        <v>0</v>
      </c>
      <c r="AI39" s="47" t="b">
        <f>OR(EXACT(AF39,V39),EXACT(AF39,W39),EXACT(AG39,V39),EXACT(AG39,W39))</f>
        <v>0</v>
      </c>
      <c r="AJ39" s="53">
        <f>VLOOKUP(AD39,review3,7,FALSE)</f>
        <v>46133</v>
      </c>
      <c r="AK39" s="53" t="str">
        <f>VLOOKUP(AD39,review3,8,FALSE)</f>
        <v>Tue</v>
      </c>
      <c r="AL39" s="47">
        <f>VLOOKUP(AD39,review3,4,FALSE)</f>
        <v>4</v>
      </c>
      <c r="AM39" s="47" t="str">
        <f>VLOOKUP(AD39,review3,9,FALSE)</f>
        <v>NVH.415</v>
      </c>
      <c r="AN39" s="55"/>
      <c r="AO39" t="s">
        <v>687</v>
      </c>
      <c r="AP39" s="122"/>
      <c r="AQ39" s="47" t="e">
        <f>VLOOKUP(AP39,defense1_list,7,FALSE)</f>
        <v>#N/A</v>
      </c>
      <c r="AR39" s="57">
        <f>COUNTIF(defense1_forgroup_code,AP39)</f>
        <v>0</v>
      </c>
      <c r="AS39" s="4" t="b">
        <f>ISNUMBER(SEARCH(H39,AQ39))</f>
        <v>0</v>
      </c>
      <c r="AT39" s="4" t="b">
        <f>AND(NOT(ISBLANK(I39)),(ISNUMBER(SEARCH(I39,AQ39))))</f>
        <v>0</v>
      </c>
      <c r="AU39" s="4"/>
      <c r="AV39" s="47"/>
      <c r="AW39" s="47" t="s">
        <v>687</v>
      </c>
      <c r="AX39" s="47"/>
      <c r="AY39" s="47"/>
      <c r="AZ39" s="127">
        <v>201</v>
      </c>
      <c r="BA39" s="47" t="str">
        <f>VLOOKUP(AZ39,defense2_list,7,FALSE)</f>
        <v>HuongNTC2_QuynhTNN4_SangNM18_ThinhDP2_TamPM</v>
      </c>
      <c r="BB39" s="57">
        <f>COUNTIF(defense2_forgroup_code,AZ39)</f>
        <v>2</v>
      </c>
      <c r="BC39" s="4" t="b">
        <f>ISNUMBER(SEARCH(H39,BA39))</f>
        <v>0</v>
      </c>
      <c r="BD39" s="4" t="b">
        <f>AND(NOT(ISBLANK(I39)),(ISNUMBER(SEARCH(I39,AZ39))))</f>
        <v>0</v>
      </c>
      <c r="BE39" s="4"/>
      <c r="BF39" s="47"/>
      <c r="BG39" s="47"/>
    </row>
    <row r="40" spans="1:59" ht="15" thickBot="1" x14ac:dyDescent="0.4">
      <c r="A40" s="47">
        <v>6</v>
      </c>
      <c r="B40" s="48"/>
      <c r="C40" s="49" t="s">
        <v>341</v>
      </c>
      <c r="D40" s="58" t="s">
        <v>342</v>
      </c>
      <c r="E40" s="14" t="s">
        <v>343</v>
      </c>
      <c r="F40" s="14" t="s">
        <v>344</v>
      </c>
      <c r="G40" s="49" t="s">
        <v>92</v>
      </c>
      <c r="H40" s="50" t="s">
        <v>648</v>
      </c>
      <c r="I40" s="51"/>
      <c r="J40" s="6">
        <v>3421</v>
      </c>
      <c r="K40" s="6">
        <f>COUNTIF(review1_code,J40)</f>
        <v>3</v>
      </c>
      <c r="L40" s="4" t="str">
        <f>VLOOKUP(J40,review1,10,FALSE)</f>
        <v>TaiNT51</v>
      </c>
      <c r="M40" s="4" t="str">
        <f>VLOOKUP(J40,review1,11,FALSE)</f>
        <v>NhanDT35</v>
      </c>
      <c r="N40" s="47" t="b">
        <f>OR(EXACT(L40,H40),EXACT(L40,I40),EXACT(M40,H40),EXACT(M40,I40))</f>
        <v>0</v>
      </c>
      <c r="O40" s="52">
        <f>VLOOKUP(J40,review1,7,FALSE)</f>
        <v>46044</v>
      </c>
      <c r="P40" s="52" t="str">
        <f>VLOOKUP(J40,review1,8,FALSE)</f>
        <v>Thu</v>
      </c>
      <c r="Q40" s="47">
        <f>INT(MOD(J40/10,10))</f>
        <v>2</v>
      </c>
      <c r="R40" s="47" t="str">
        <f>VLOOKUP(J40,review1,9,FALSE)</f>
        <v>NVH G.01</v>
      </c>
      <c r="S40" s="47">
        <f>J40+4000</f>
        <v>7421</v>
      </c>
      <c r="T40" s="6">
        <v>7421</v>
      </c>
      <c r="U40" s="6">
        <f>COUNTIF(review2_code,T40)</f>
        <v>3</v>
      </c>
      <c r="V40" s="4" t="str">
        <f>VLOOKUP(T40,review2,10,FALSE)</f>
        <v>TaiNT51</v>
      </c>
      <c r="W40" s="4" t="str">
        <f>VLOOKUP(T40,review2,11,FALSE)</f>
        <v>NhanDT35</v>
      </c>
      <c r="X40" s="4" t="b">
        <f>OR(EXACT(V40,H40),EXACT(V40,I40),EXACT(W40,H40),EXACT(W40,I40))</f>
        <v>0</v>
      </c>
      <c r="Y40" s="53">
        <f>VLOOKUP(T40,review2,7,FALSE)</f>
        <v>46085</v>
      </c>
      <c r="Z40" s="53" t="str">
        <f>VLOOKUP(T40,review2,8,FALSE)</f>
        <v>Wed</v>
      </c>
      <c r="AA40" s="47">
        <f>INT(MOD(T40/10,10))</f>
        <v>2</v>
      </c>
      <c r="AB40" s="47" t="e">
        <f>VLOOKUP(J40,review2,9,FALSE)</f>
        <v>#N/A</v>
      </c>
      <c r="AC40" s="47"/>
      <c r="AD40" s="6">
        <v>14233</v>
      </c>
      <c r="AE40" s="6">
        <f>COUNTIF(review3_code,AD40)</f>
        <v>3</v>
      </c>
      <c r="AF40" s="54" t="str">
        <f>VLOOKUP(AD40,review3,10,FALSE)</f>
        <v>TamPM</v>
      </c>
      <c r="AG40" s="54" t="str">
        <f>VLOOKUP(AD40,review3,11,FALSE)</f>
        <v>HoangNT20</v>
      </c>
      <c r="AH40" s="47" t="b">
        <f>OR(EXACT(AF40,H40),EXACT(AF40,I40),EXACT(AG40,H40),EXACT(AG40,I40))</f>
        <v>0</v>
      </c>
      <c r="AI40" s="47" t="b">
        <f>OR(EXACT(AF40,V40),EXACT(AF40,W40),EXACT(AG40,V40),EXACT(AG40,W40))</f>
        <v>0</v>
      </c>
      <c r="AJ40" s="53">
        <f>VLOOKUP(AD40,review3,7,FALSE)</f>
        <v>46132</v>
      </c>
      <c r="AK40" s="53" t="str">
        <f>VLOOKUP(AD40,review3,8,FALSE)</f>
        <v>Mon</v>
      </c>
      <c r="AL40" s="47">
        <f>VLOOKUP(AD40,review3,4,FALSE)</f>
        <v>3</v>
      </c>
      <c r="AM40" s="47" t="str">
        <f>VLOOKUP(AD40,review3,9,FALSE)</f>
        <v>NVH.306</v>
      </c>
      <c r="AN40" s="55"/>
      <c r="AO40" t="s">
        <v>688</v>
      </c>
      <c r="AP40" s="56">
        <v>201</v>
      </c>
      <c r="AQ40" s="47" t="str">
        <f>VLOOKUP(AP40,defense1_list,7,FALSE)</f>
        <v>HuongNTC2_QuynhTNN4_KiemHH_NguHCV_TamPM</v>
      </c>
      <c r="AR40" s="57">
        <f>COUNTIF(defense1_forgroup_code,AP40)</f>
        <v>7</v>
      </c>
      <c r="AS40" s="4" t="b">
        <f>ISNUMBER(SEARCH(H40,AQ40))</f>
        <v>0</v>
      </c>
      <c r="AT40" s="4" t="b">
        <f>AND(NOT(ISBLANK(I40)),(ISNUMBER(SEARCH(I40,AQ40))))</f>
        <v>0</v>
      </c>
      <c r="AU40" s="4" t="b">
        <f>(IFERROR(SEARCH(AF40,AQ40),0)+IFERROR(SEARCH(AG40,AQ40),0))&gt;0</f>
        <v>1</v>
      </c>
      <c r="AV40" s="47"/>
      <c r="AW40" s="47" t="s">
        <v>689</v>
      </c>
      <c r="AX40" s="47"/>
      <c r="AY40" s="47"/>
      <c r="AZ40" s="127">
        <v>201</v>
      </c>
      <c r="BA40" s="47" t="str">
        <f>VLOOKUP(AZ40,defense2_list,7,FALSE)</f>
        <v>HuongNTC2_QuynhTNN4_SangNM18_ThinhDP2_TamPM</v>
      </c>
      <c r="BB40" s="57">
        <f>COUNTIF(defense2_forgroup_code,AZ40)</f>
        <v>2</v>
      </c>
      <c r="BC40" s="4" t="b">
        <f>ISNUMBER(SEARCH(H40,BA40))</f>
        <v>0</v>
      </c>
      <c r="BD40" s="4" t="b">
        <f>AND(NOT(ISBLANK(I40)),(ISNUMBER(SEARCH(I40,AZ40))))</f>
        <v>0</v>
      </c>
      <c r="BE40" s="4"/>
      <c r="BF40" s="47"/>
      <c r="BG40" s="47"/>
    </row>
    <row r="41" spans="1:59" ht="15" thickBot="1" x14ac:dyDescent="0.4">
      <c r="A41" s="47">
        <v>17</v>
      </c>
      <c r="B41" s="48"/>
      <c r="C41" s="49" t="s">
        <v>398</v>
      </c>
      <c r="D41" s="58" t="s">
        <v>399</v>
      </c>
      <c r="E41" s="121" t="s">
        <v>400</v>
      </c>
      <c r="F41" s="121" t="s">
        <v>401</v>
      </c>
      <c r="G41" s="49" t="s">
        <v>615</v>
      </c>
      <c r="H41" s="50" t="s">
        <v>32</v>
      </c>
      <c r="I41" s="51" t="s">
        <v>18</v>
      </c>
      <c r="J41" s="6">
        <v>3621</v>
      </c>
      <c r="K41" s="6">
        <f>COUNTIF(review1_code,J41)</f>
        <v>3</v>
      </c>
      <c r="L41" s="4" t="str">
        <f>VLOOKUP(J41,review1,10,FALSE)</f>
        <v>HuongNTC2</v>
      </c>
      <c r="M41" s="4" t="str">
        <f>VLOOKUP(J41,review1,11,FALSE)</f>
        <v>TaiNT51</v>
      </c>
      <c r="N41" s="47" t="b">
        <f>OR(EXACT(L41,H41),EXACT(L41,I41),EXACT(M41,H41),EXACT(M41,I41))</f>
        <v>0</v>
      </c>
      <c r="O41" s="52">
        <f>VLOOKUP(J41,review1,7,FALSE)</f>
        <v>46046</v>
      </c>
      <c r="P41" s="52" t="str">
        <f>VLOOKUP(J41,review1,8,FALSE)</f>
        <v>Sat</v>
      </c>
      <c r="Q41" s="47">
        <f>INT(MOD(J41/10,10))</f>
        <v>2</v>
      </c>
      <c r="R41" s="47" t="str">
        <f>VLOOKUP(J41,review1,9,FALSE)</f>
        <v>NVH G.01</v>
      </c>
      <c r="S41" s="47">
        <f>J41+4000</f>
        <v>7621</v>
      </c>
      <c r="T41" s="6">
        <v>7621</v>
      </c>
      <c r="U41" s="6">
        <f>COUNTIF(review2_code,T41)</f>
        <v>3</v>
      </c>
      <c r="V41" s="4" t="str">
        <f>VLOOKUP(T41,review2,10,FALSE)</f>
        <v>HuongNTC2</v>
      </c>
      <c r="W41" s="4" t="str">
        <f>VLOOKUP(T41,review2,11,FALSE)</f>
        <v>TaiNT51</v>
      </c>
      <c r="X41" s="4" t="b">
        <f>OR(EXACT(V41,H41),EXACT(V41,I41),EXACT(W41,H41),EXACT(W41,I41))</f>
        <v>0</v>
      </c>
      <c r="Y41" s="53">
        <f>VLOOKUP(T41,review2,7,FALSE)</f>
        <v>46087</v>
      </c>
      <c r="Z41" s="53" t="str">
        <f>VLOOKUP(T41,review2,8,FALSE)</f>
        <v>Fri</v>
      </c>
      <c r="AA41" s="47">
        <f>INT(MOD(T41/10,10))</f>
        <v>2</v>
      </c>
      <c r="AB41" s="47" t="e">
        <f>VLOOKUP(J41,review2,9,FALSE)</f>
        <v>#N/A</v>
      </c>
      <c r="AC41" s="47"/>
      <c r="AD41" s="6">
        <v>14351</v>
      </c>
      <c r="AE41" s="6">
        <f>COUNTIF(review3_code,AD41)</f>
        <v>3</v>
      </c>
      <c r="AF41" s="54" t="str">
        <f>VLOOKUP(AD41,review3,10,FALSE)</f>
        <v>PhuongLHK</v>
      </c>
      <c r="AG41" s="54" t="str">
        <f>VLOOKUP(AD41,review3,11,FALSE)</f>
        <v>NhanDT35</v>
      </c>
      <c r="AH41" s="47" t="b">
        <f>OR(EXACT(AF41,H41),EXACT(AF41,I41),EXACT(AG41,H41),EXACT(AG41,I41))</f>
        <v>0</v>
      </c>
      <c r="AI41" s="47" t="b">
        <f>OR(EXACT(AF41,V41),EXACT(AF41,W41),EXACT(AG41,V41),EXACT(AG41,W41))</f>
        <v>0</v>
      </c>
      <c r="AJ41" s="53">
        <f>VLOOKUP(AD41,review3,7,FALSE)</f>
        <v>46133</v>
      </c>
      <c r="AK41" s="53" t="str">
        <f>VLOOKUP(AD41,review3,8,FALSE)</f>
        <v>Tue</v>
      </c>
      <c r="AL41" s="47">
        <f>VLOOKUP(AD41,review3,4,FALSE)</f>
        <v>5</v>
      </c>
      <c r="AM41" s="47" t="str">
        <f>VLOOKUP(AD41,review3,9,FALSE)</f>
        <v>NVH.301</v>
      </c>
      <c r="AN41" s="55"/>
      <c r="AO41" t="s">
        <v>687</v>
      </c>
      <c r="AP41" s="122"/>
      <c r="AQ41" s="47" t="e">
        <f>VLOOKUP(AP41,defense1_list,7,FALSE)</f>
        <v>#N/A</v>
      </c>
      <c r="AR41" s="57">
        <f>COUNTIF(defense1_forgroup_code,AP41)</f>
        <v>0</v>
      </c>
      <c r="AS41" s="4" t="b">
        <f>ISNUMBER(SEARCH(H41,AQ41))</f>
        <v>0</v>
      </c>
      <c r="AT41" s="4" t="b">
        <f>AND(NOT(ISBLANK(I41)),(ISNUMBER(SEARCH(I41,AQ41))))</f>
        <v>0</v>
      </c>
      <c r="AU41" s="4"/>
      <c r="AV41" s="47"/>
      <c r="AW41" s="47" t="s">
        <v>687</v>
      </c>
      <c r="AX41" s="47"/>
      <c r="AY41" s="47"/>
      <c r="AZ41" s="127">
        <v>202</v>
      </c>
      <c r="BA41" s="47" t="str">
        <f>VLOOKUP(AZ41,defense2_list,7,FALSE)</f>
        <v>TaiNT51_ThongNT_AnNDH2_MinhTTH5_NgocTTM4</v>
      </c>
      <c r="BB41" s="57">
        <f>COUNTIF(defense2_forgroup_code,AZ41)</f>
        <v>2</v>
      </c>
      <c r="BC41" s="4" t="b">
        <f>ISNUMBER(SEARCH(H41,BA41))</f>
        <v>0</v>
      </c>
      <c r="BD41" s="4" t="b">
        <f>AND(NOT(ISBLANK(I41)),(ISNUMBER(SEARCH(I41,AZ41))))</f>
        <v>0</v>
      </c>
      <c r="BE41" s="4"/>
      <c r="BF41" s="47"/>
      <c r="BG41" s="47"/>
    </row>
    <row r="42" spans="1:59" ht="15" thickBot="1" x14ac:dyDescent="0.4">
      <c r="A42" s="47">
        <v>37</v>
      </c>
      <c r="B42" s="48"/>
      <c r="C42" s="49" t="s">
        <v>337</v>
      </c>
      <c r="D42" s="58" t="s">
        <v>338</v>
      </c>
      <c r="E42" s="14" t="s">
        <v>339</v>
      </c>
      <c r="F42" s="14" t="s">
        <v>340</v>
      </c>
      <c r="G42" s="49" t="s">
        <v>72</v>
      </c>
      <c r="H42" s="50" t="s">
        <v>67</v>
      </c>
      <c r="I42" s="51"/>
      <c r="J42" s="6">
        <v>3411</v>
      </c>
      <c r="K42" s="6">
        <f>COUNTIF(review1_code,J42)</f>
        <v>3</v>
      </c>
      <c r="L42" s="4" t="str">
        <f>VLOOKUP(J42,review1,10,FALSE)</f>
        <v>TriPT9</v>
      </c>
      <c r="M42" s="4" t="str">
        <f>VLOOKUP(J42,review1,11,FALSE)</f>
        <v>VuLNS</v>
      </c>
      <c r="N42" s="47" t="b">
        <f>OR(EXACT(L42,H42),EXACT(L42,I42),EXACT(M42,H42),EXACT(M42,I42))</f>
        <v>0</v>
      </c>
      <c r="O42" s="52">
        <f>VLOOKUP(J42,review1,7,FALSE)</f>
        <v>46044</v>
      </c>
      <c r="P42" s="52" t="str">
        <f>VLOOKUP(J42,review1,8,FALSE)</f>
        <v>Thu</v>
      </c>
      <c r="Q42" s="47">
        <f>INT(MOD(J42/10,10))</f>
        <v>1</v>
      </c>
      <c r="R42" s="47" t="str">
        <f>VLOOKUP(J42,review1,9,FALSE)</f>
        <v>NVH G.02</v>
      </c>
      <c r="S42" s="47">
        <f>J42+4000</f>
        <v>7411</v>
      </c>
      <c r="T42" s="6">
        <v>7411</v>
      </c>
      <c r="U42" s="6">
        <f>COUNTIF(review2_code,T42)</f>
        <v>3</v>
      </c>
      <c r="V42" s="4" t="str">
        <f>VLOOKUP(T42,review2,10,FALSE)</f>
        <v>TriPT9</v>
      </c>
      <c r="W42" s="4" t="str">
        <f>VLOOKUP(T42,review2,11,FALSE)</f>
        <v>VuLNS</v>
      </c>
      <c r="X42" s="4" t="b">
        <f>OR(EXACT(V42,H42),EXACT(V42,I42),EXACT(W42,H42),EXACT(W42,I42))</f>
        <v>0</v>
      </c>
      <c r="Y42" s="53">
        <f>VLOOKUP(T42,review2,7,FALSE)</f>
        <v>46085</v>
      </c>
      <c r="Z42" s="53" t="str">
        <f>VLOOKUP(T42,review2,8,FALSE)</f>
        <v>Wed</v>
      </c>
      <c r="AA42" s="47">
        <f>INT(MOD(T42/10,10))</f>
        <v>1</v>
      </c>
      <c r="AB42" s="47" t="e">
        <f>VLOOKUP(J42,review2,9,FALSE)</f>
        <v>#N/A</v>
      </c>
      <c r="AC42" s="47"/>
      <c r="AD42" s="6">
        <v>14312</v>
      </c>
      <c r="AE42" s="6">
        <f>COUNTIF(review3_code,AD42)</f>
        <v>2</v>
      </c>
      <c r="AF42" s="54" t="str">
        <f>VLOOKUP(AD42,review3,10,FALSE)</f>
        <v>TaiNT51</v>
      </c>
      <c r="AG42" s="54" t="str">
        <f>VLOOKUP(AD42,review3,11,FALSE)</f>
        <v>PhuongLHK</v>
      </c>
      <c r="AH42" s="47" t="b">
        <f>OR(EXACT(AF42,H42),EXACT(AF42,I42),EXACT(AG42,H42),EXACT(AG42,I42))</f>
        <v>0</v>
      </c>
      <c r="AI42" s="47" t="b">
        <f>OR(EXACT(AF42,V42),EXACT(AF42,W42),EXACT(AG42,V42),EXACT(AG42,W42))</f>
        <v>0</v>
      </c>
      <c r="AJ42" s="53">
        <f>VLOOKUP(AD42,review3,7,FALSE)</f>
        <v>46133</v>
      </c>
      <c r="AK42" s="53" t="str">
        <f>VLOOKUP(AD42,review3,8,FALSE)</f>
        <v>Tue</v>
      </c>
      <c r="AL42" s="47">
        <f>VLOOKUP(AD42,review3,4,FALSE)</f>
        <v>1</v>
      </c>
      <c r="AM42" s="47" t="str">
        <f>VLOOKUP(AD42,review3,9,FALSE)</f>
        <v>NVH.415</v>
      </c>
      <c r="AN42" s="55"/>
      <c r="AO42" t="s">
        <v>687</v>
      </c>
      <c r="AP42" s="122"/>
      <c r="AQ42" s="47" t="e">
        <f>VLOOKUP(AP42,defense1_list,7,FALSE)</f>
        <v>#N/A</v>
      </c>
      <c r="AR42" s="57">
        <f>COUNTIF(defense1_forgroup_code,AP42)</f>
        <v>0</v>
      </c>
      <c r="AS42" s="4" t="b">
        <f>ISNUMBER(SEARCH(H42,AQ42))</f>
        <v>0</v>
      </c>
      <c r="AT42" s="4" t="b">
        <f>AND(NOT(ISBLANK(I42)),(ISNUMBER(SEARCH(I42,AQ42))))</f>
        <v>0</v>
      </c>
      <c r="AU42" s="4"/>
      <c r="AV42" s="47"/>
      <c r="AW42" s="47" t="s">
        <v>687</v>
      </c>
      <c r="AX42" s="47"/>
      <c r="AY42" s="47"/>
      <c r="AZ42" s="127">
        <v>202</v>
      </c>
      <c r="BA42" s="47" t="str">
        <f>VLOOKUP(AZ42,defense2_list,7,FALSE)</f>
        <v>TaiNT51_ThongNT_AnNDH2_MinhTTH5_NgocTTM4</v>
      </c>
      <c r="BB42" s="57">
        <f>COUNTIF(defense2_forgroup_code,AZ42)</f>
        <v>2</v>
      </c>
      <c r="BC42" s="4" t="b">
        <f>ISNUMBER(SEARCH(H42,BA42))</f>
        <v>0</v>
      </c>
      <c r="BD42" s="4" t="b">
        <f>AND(NOT(ISBLANK(I42)),(ISNUMBER(SEARCH(I42,AZ42))))</f>
        <v>0</v>
      </c>
      <c r="BE42" s="4"/>
      <c r="BF42" s="47"/>
      <c r="BG42" s="47"/>
    </row>
    <row r="43" spans="1:59" ht="15" thickBot="1" x14ac:dyDescent="0.4">
      <c r="A43" s="47">
        <v>121</v>
      </c>
      <c r="B43" s="48"/>
      <c r="C43" s="49" t="s">
        <v>468</v>
      </c>
      <c r="D43" s="58" t="s">
        <v>469</v>
      </c>
      <c r="E43" s="121" t="s">
        <v>470</v>
      </c>
      <c r="F43" s="121" t="s">
        <v>471</v>
      </c>
      <c r="G43" s="49" t="s">
        <v>539</v>
      </c>
      <c r="H43" s="50" t="s">
        <v>16</v>
      </c>
      <c r="I43" s="51"/>
      <c r="J43" s="6">
        <v>3451</v>
      </c>
      <c r="K43" s="6">
        <f>COUNTIF(review1_code,J43)</f>
        <v>3</v>
      </c>
      <c r="L43" s="4" t="str">
        <f>VLOOKUP(J43,review1,10,FALSE)</f>
        <v>PhuongLHK</v>
      </c>
      <c r="M43" s="4" t="str">
        <f>VLOOKUP(J43,review1,11,FALSE)</f>
        <v>MinhTTH5</v>
      </c>
      <c r="N43" s="47" t="b">
        <f>OR(EXACT(L43,H43),EXACT(L43,I43),EXACT(M43,H43),EXACT(M43,I43))</f>
        <v>0</v>
      </c>
      <c r="O43" s="52">
        <f>VLOOKUP(J43,review1,7,FALSE)</f>
        <v>46044</v>
      </c>
      <c r="P43" s="52" t="str">
        <f>VLOOKUP(J43,review1,8,FALSE)</f>
        <v>Thu</v>
      </c>
      <c r="Q43" s="47">
        <f>INT(MOD(J43/10,10))</f>
        <v>5</v>
      </c>
      <c r="R43" s="47" t="str">
        <f>VLOOKUP(J43,review1,9,FALSE)</f>
        <v>NVH G.01</v>
      </c>
      <c r="S43" s="47">
        <f>J43+4000</f>
        <v>7451</v>
      </c>
      <c r="T43" s="6">
        <v>7451</v>
      </c>
      <c r="U43" s="6">
        <f>COUNTIF(review2_code,T43)</f>
        <v>3</v>
      </c>
      <c r="V43" s="4" t="str">
        <f>VLOOKUP(T43,review2,10,FALSE)</f>
        <v>PhuongLHK</v>
      </c>
      <c r="W43" s="4" t="str">
        <f>VLOOKUP(T43,review2,11,FALSE)</f>
        <v>MinhTTH5</v>
      </c>
      <c r="X43" s="4" t="b">
        <f>OR(EXACT(V43,H43),EXACT(V43,I43),EXACT(W43,H43),EXACT(W43,I43))</f>
        <v>0</v>
      </c>
      <c r="Y43" s="53">
        <f>VLOOKUP(T43,review2,7,FALSE)</f>
        <v>46085</v>
      </c>
      <c r="Z43" s="53" t="str">
        <f>VLOOKUP(T43,review2,8,FALSE)</f>
        <v>Wed</v>
      </c>
      <c r="AA43" s="47">
        <f>INT(MOD(T43/10,10))</f>
        <v>5</v>
      </c>
      <c r="AB43" s="47" t="e">
        <f>VLOOKUP(J43,review2,9,FALSE)</f>
        <v>#N/A</v>
      </c>
      <c r="AC43" s="47"/>
      <c r="AD43" s="6">
        <v>14541</v>
      </c>
      <c r="AE43" s="6">
        <f>COUNTIF(review3_code,AD43)</f>
        <v>3</v>
      </c>
      <c r="AF43" s="54" t="str">
        <f>VLOOKUP(AD43,review3,10,FALSE)</f>
        <v>DucDNM2</v>
      </c>
      <c r="AG43" s="54" t="str">
        <f>VLOOKUP(AD43,review3,11,FALSE)</f>
        <v>LamNN15</v>
      </c>
      <c r="AH43" s="47" t="b">
        <f>OR(EXACT(AF43,H43),EXACT(AF43,I43),EXACT(AG43,H43),EXACT(AG43,I43))</f>
        <v>0</v>
      </c>
      <c r="AI43" s="47" t="b">
        <f>OR(EXACT(AF43,V43),EXACT(AF43,W43),EXACT(AG43,V43),EXACT(AG43,W43))</f>
        <v>0</v>
      </c>
      <c r="AJ43" s="53">
        <f>VLOOKUP(AD43,review3,7,FALSE)</f>
        <v>46135</v>
      </c>
      <c r="AK43" s="53" t="str">
        <f>VLOOKUP(AD43,review3,8,FALSE)</f>
        <v>Thu</v>
      </c>
      <c r="AL43" s="47">
        <f>VLOOKUP(AD43,review3,4,FALSE)</f>
        <v>4</v>
      </c>
      <c r="AM43" s="47" t="str">
        <f>VLOOKUP(AD43,review3,9,FALSE)</f>
        <v>NVH.306</v>
      </c>
      <c r="AN43" s="55"/>
      <c r="AO43" t="s">
        <v>688</v>
      </c>
      <c r="AP43" s="122">
        <v>203</v>
      </c>
      <c r="AQ43" s="47" t="str">
        <f>VLOOKUP(AP43,defense1_list,7,FALSE)</f>
        <v>DucDNM2_HungLD5_NhanDT35_TriPT9_LamNN15</v>
      </c>
      <c r="AR43" s="57">
        <f>COUNTIF(defense1_forgroup_code,AP43)</f>
        <v>7</v>
      </c>
      <c r="AS43" s="4" t="b">
        <f>ISNUMBER(SEARCH(H43,AQ43))</f>
        <v>0</v>
      </c>
      <c r="AT43" s="4" t="b">
        <f>AND(NOT(ISBLANK(I43)),(ISNUMBER(SEARCH(I43,AQ43))))</f>
        <v>0</v>
      </c>
      <c r="AU43" s="4" t="b">
        <f>(IFERROR(SEARCH(AF43,AQ43),0)+IFERROR(SEARCH(AG43,AQ43),0))&gt;0</f>
        <v>1</v>
      </c>
      <c r="AV43" s="47"/>
      <c r="AW43" s="47" t="s">
        <v>689</v>
      </c>
      <c r="AX43" s="47"/>
      <c r="AY43" s="47"/>
      <c r="AZ43" s="127">
        <v>203</v>
      </c>
      <c r="BA43" s="47" t="str">
        <f>VLOOKUP(AZ43,defense2_list,7,FALSE)</f>
        <v>DucDNM2_HungLD5_HoangNT20_TriPT9_LamNN15</v>
      </c>
      <c r="BB43" s="57">
        <f>COUNTIF(defense2_forgroup_code,AZ43)</f>
        <v>2</v>
      </c>
      <c r="BC43" s="4" t="b">
        <f>ISNUMBER(SEARCH(H43,BA43))</f>
        <v>0</v>
      </c>
      <c r="BD43" s="4" t="b">
        <f>AND(NOT(ISBLANK(I43)),(ISNUMBER(SEARCH(I43,AZ43))))</f>
        <v>0</v>
      </c>
      <c r="BE43" s="4"/>
      <c r="BF43" s="47"/>
      <c r="BG43" s="47"/>
    </row>
    <row r="44" spans="1:59" ht="15" thickBot="1" x14ac:dyDescent="0.4">
      <c r="A44" s="47">
        <v>25</v>
      </c>
      <c r="B44" s="48"/>
      <c r="C44" s="49" t="s">
        <v>222</v>
      </c>
      <c r="D44" s="58" t="s">
        <v>223</v>
      </c>
      <c r="E44" s="14" t="s">
        <v>224</v>
      </c>
      <c r="F44" s="14" t="s">
        <v>225</v>
      </c>
      <c r="G44" s="49" t="s">
        <v>80</v>
      </c>
      <c r="H44" s="50" t="s">
        <v>19</v>
      </c>
      <c r="I44" s="51"/>
      <c r="J44" s="6">
        <v>3553</v>
      </c>
      <c r="K44" s="6">
        <f>COUNTIF(review1_code,J44)</f>
        <v>3</v>
      </c>
      <c r="L44" s="4" t="str">
        <f>VLOOKUP(J44,review1,10,FALSE)</f>
        <v>PhuongLHK</v>
      </c>
      <c r="M44" s="4" t="str">
        <f>VLOOKUP(J44,review1,11,FALSE)</f>
        <v>NhanDT35</v>
      </c>
      <c r="N44" s="47" t="b">
        <f>OR(EXACT(L44,H44),EXACT(L44,I44),EXACT(M44,H44),EXACT(M44,I44))</f>
        <v>0</v>
      </c>
      <c r="O44" s="52">
        <f>VLOOKUP(J44,review1,7,FALSE)</f>
        <v>46045</v>
      </c>
      <c r="P44" s="52" t="str">
        <f>VLOOKUP(J44,review1,8,FALSE)</f>
        <v>Fri</v>
      </c>
      <c r="Q44" s="47">
        <f>INT(MOD(J44/10,10))</f>
        <v>5</v>
      </c>
      <c r="R44" s="47" t="str">
        <f>VLOOKUP(J44,review1,9,FALSE)</f>
        <v>NVH G.05</v>
      </c>
      <c r="S44" s="47">
        <f>J44+4000</f>
        <v>7553</v>
      </c>
      <c r="T44" s="6">
        <v>7553</v>
      </c>
      <c r="U44" s="6">
        <f>COUNTIF(review2_code,T44)</f>
        <v>3</v>
      </c>
      <c r="V44" s="4" t="str">
        <f>VLOOKUP(T44,review2,10,FALSE)</f>
        <v>PhuongLHK</v>
      </c>
      <c r="W44" s="4" t="str">
        <f>VLOOKUP(T44,review2,11,FALSE)</f>
        <v>NhanDT35</v>
      </c>
      <c r="X44" s="4" t="b">
        <f>OR(EXACT(V44,H44),EXACT(V44,I44),EXACT(W44,H44),EXACT(W44,I44))</f>
        <v>0</v>
      </c>
      <c r="Y44" s="53">
        <f>VLOOKUP(T44,review2,7,FALSE)</f>
        <v>46086</v>
      </c>
      <c r="Z44" s="53" t="str">
        <f>VLOOKUP(T44,review2,8,FALSE)</f>
        <v>Thu</v>
      </c>
      <c r="AA44" s="47">
        <f>INT(MOD(T44/10,10))</f>
        <v>5</v>
      </c>
      <c r="AB44" s="47" t="e">
        <f>VLOOKUP(J44,review2,9,FALSE)</f>
        <v>#N/A</v>
      </c>
      <c r="AC44" s="47"/>
      <c r="AD44" s="6">
        <v>14431</v>
      </c>
      <c r="AE44" s="6">
        <f>COUNTIF(review3_code,AD44)</f>
        <v>3</v>
      </c>
      <c r="AF44" s="54" t="str">
        <f>VLOOKUP(AD44,review3,10,FALSE)</f>
        <v>TaiNT51</v>
      </c>
      <c r="AG44" s="54" t="str">
        <f>VLOOKUP(AD44,review3,11,FALSE)</f>
        <v>LamNN15</v>
      </c>
      <c r="AH44" s="47" t="b">
        <f>OR(EXACT(AF44,H44),EXACT(AF44,I44),EXACT(AG44,H44),EXACT(AG44,I44))</f>
        <v>0</v>
      </c>
      <c r="AI44" s="47" t="b">
        <f>OR(EXACT(AF44,V44),EXACT(AF44,W44),EXACT(AG44,V44),EXACT(AG44,W44))</f>
        <v>0</v>
      </c>
      <c r="AJ44" s="53">
        <f>VLOOKUP(AD44,review3,7,FALSE)</f>
        <v>46134</v>
      </c>
      <c r="AK44" s="53" t="str">
        <f>VLOOKUP(AD44,review3,8,FALSE)</f>
        <v>Wed</v>
      </c>
      <c r="AL44" s="47">
        <f>VLOOKUP(AD44,review3,4,FALSE)</f>
        <v>3</v>
      </c>
      <c r="AM44" s="47" t="str">
        <f>VLOOKUP(AD44,review3,9,FALSE)</f>
        <v>NVH.415</v>
      </c>
      <c r="AN44" s="55"/>
      <c r="AO44" t="s">
        <v>688</v>
      </c>
      <c r="AP44" s="105">
        <v>203</v>
      </c>
      <c r="AQ44" s="106" t="str">
        <f>VLOOKUP(AP44,defense1_list,7,FALSE)</f>
        <v>DucDNM2_HungLD5_NhanDT35_TriPT9_LamNN15</v>
      </c>
      <c r="AR44" s="57">
        <f>COUNTIF(defense1_forgroup_code,AP44)</f>
        <v>7</v>
      </c>
      <c r="AS44" s="4" t="b">
        <f>ISNUMBER(SEARCH(H44,AQ44))</f>
        <v>0</v>
      </c>
      <c r="AT44" s="4" t="b">
        <f>AND(NOT(ISBLANK(I44)),(ISNUMBER(SEARCH(I44,AQ44))))</f>
        <v>0</v>
      </c>
      <c r="AU44" s="4" t="b">
        <f>(IFERROR(SEARCH(AF44,AQ44),0)+IFERROR(SEARCH(AG44,AQ44),0))&gt;0</f>
        <v>1</v>
      </c>
      <c r="AV44" s="47"/>
      <c r="AW44" s="47" t="s">
        <v>689</v>
      </c>
      <c r="AX44" s="47"/>
      <c r="AY44" s="47"/>
      <c r="AZ44" s="127">
        <v>203</v>
      </c>
      <c r="BA44" s="47" t="str">
        <f>VLOOKUP(AZ44,defense2_list,7,FALSE)</f>
        <v>DucDNM2_HungLD5_HoangNT20_TriPT9_LamNN15</v>
      </c>
      <c r="BB44" s="57">
        <f>COUNTIF(defense2_forgroup_code,AZ44)</f>
        <v>2</v>
      </c>
      <c r="BC44" s="4" t="b">
        <f>ISNUMBER(SEARCH(H44,BA44))</f>
        <v>0</v>
      </c>
      <c r="BD44" s="4" t="b">
        <f>AND(NOT(ISBLANK(I44)),(ISNUMBER(SEARCH(I44,AZ44))))</f>
        <v>0</v>
      </c>
      <c r="BE44" s="4"/>
      <c r="BF44" s="47"/>
      <c r="BG44" s="47"/>
    </row>
    <row r="45" spans="1:59" ht="29.5" thickBot="1" x14ac:dyDescent="0.4">
      <c r="A45" s="47">
        <v>101</v>
      </c>
      <c r="B45" s="48"/>
      <c r="C45" s="49" t="s">
        <v>127</v>
      </c>
      <c r="D45" s="58" t="s">
        <v>128</v>
      </c>
      <c r="E45" s="14" t="s">
        <v>129</v>
      </c>
      <c r="F45" s="14" t="s">
        <v>130</v>
      </c>
      <c r="G45" s="49" t="s">
        <v>79</v>
      </c>
      <c r="H45" s="50" t="s">
        <v>638</v>
      </c>
      <c r="I45" s="51"/>
      <c r="J45" s="6">
        <v>4243</v>
      </c>
      <c r="K45" s="6">
        <f>COUNTIF(review1_code,J45)</f>
        <v>3</v>
      </c>
      <c r="L45" s="4" t="str">
        <f>VLOOKUP(J45,review1,10,FALSE)</f>
        <v>TaiNT51</v>
      </c>
      <c r="M45" s="4" t="str">
        <f>VLOOKUP(J45,review1,11,FALSE)</f>
        <v>LongT5</v>
      </c>
      <c r="N45" s="47" t="b">
        <f>OR(EXACT(L45,H45),EXACT(L45,I45),EXACT(M45,H45),EXACT(M45,I45))</f>
        <v>0</v>
      </c>
      <c r="O45" s="52">
        <f>VLOOKUP(J45,review1,7,FALSE)</f>
        <v>46049</v>
      </c>
      <c r="P45" s="52" t="str">
        <f>VLOOKUP(J45,review1,8,FALSE)</f>
        <v>Tue</v>
      </c>
      <c r="Q45" s="47">
        <f>INT(MOD(J45/10,10))</f>
        <v>4</v>
      </c>
      <c r="R45" s="47" t="str">
        <f>VLOOKUP(J45,review1,9,FALSE)</f>
        <v>NVH G.02</v>
      </c>
      <c r="S45" s="47">
        <f>J45+4000</f>
        <v>8243</v>
      </c>
      <c r="T45" s="6">
        <v>8243</v>
      </c>
      <c r="U45" s="6">
        <f>COUNTIF(review2_code,T45)</f>
        <v>3</v>
      </c>
      <c r="V45" s="4" t="str">
        <f>VLOOKUP(T45,review2,10,FALSE)</f>
        <v>TaiNT51</v>
      </c>
      <c r="W45" s="4" t="str">
        <f>VLOOKUP(T45,review2,11,FALSE)</f>
        <v>LongT5</v>
      </c>
      <c r="X45" s="4" t="b">
        <f>OR(EXACT(V45,H45),EXACT(V45,I45),EXACT(W45,H45),EXACT(W45,I45))</f>
        <v>0</v>
      </c>
      <c r="Y45" s="53">
        <f>VLOOKUP(T45,review2,7,FALSE)</f>
        <v>46090</v>
      </c>
      <c r="Z45" s="53" t="str">
        <f>VLOOKUP(T45,review2,8,FALSE)</f>
        <v>Mon</v>
      </c>
      <c r="AA45" s="47">
        <f>INT(MOD(T45/10,10))</f>
        <v>4</v>
      </c>
      <c r="AB45" s="47" t="e">
        <f>VLOOKUP(J45,review2,9,FALSE)</f>
        <v>#N/A</v>
      </c>
      <c r="AC45" s="47"/>
      <c r="AD45" s="6">
        <v>14332</v>
      </c>
      <c r="AE45" s="6">
        <f>COUNTIF(review3_code,AD45)</f>
        <v>3</v>
      </c>
      <c r="AF45" s="54" t="str">
        <f>VLOOKUP(AD45,review3,10,FALSE)</f>
        <v>TriPT9</v>
      </c>
      <c r="AG45" s="54" t="str">
        <f>VLOOKUP(AD45,review3,11,FALSE)</f>
        <v>SangNM18</v>
      </c>
      <c r="AH45" s="47" t="b">
        <f>OR(EXACT(AF45,H45),EXACT(AF45,I45),EXACT(AG45,H45),EXACT(AG45,I45))</f>
        <v>0</v>
      </c>
      <c r="AI45" s="47" t="b">
        <f>OR(EXACT(AF45,V45),EXACT(AF45,W45),EXACT(AG45,V45),EXACT(AG45,W45))</f>
        <v>0</v>
      </c>
      <c r="AJ45" s="53">
        <f>VLOOKUP(AD45,review3,7,FALSE)</f>
        <v>46133</v>
      </c>
      <c r="AK45" s="53" t="str">
        <f>VLOOKUP(AD45,review3,8,FALSE)</f>
        <v>Tue</v>
      </c>
      <c r="AL45" s="47">
        <f>VLOOKUP(AD45,review3,4,FALSE)</f>
        <v>3</v>
      </c>
      <c r="AM45" s="47" t="str">
        <f>VLOOKUP(AD45,review3,9,FALSE)</f>
        <v>NVH.414</v>
      </c>
      <c r="AN45" s="55"/>
      <c r="AO45" t="s">
        <v>688</v>
      </c>
      <c r="AP45" s="56">
        <v>204</v>
      </c>
      <c r="AQ45" s="47" t="str">
        <f>VLOOKUP(AP45,defense1_list,7,FALSE)</f>
        <v>PhuongLHK_PhucNT40_VuLNS_MinhTTH5_ThinhDP2</v>
      </c>
      <c r="AR45" s="57">
        <f>COUNTIF(defense1_forgroup_code,AP45)</f>
        <v>8</v>
      </c>
      <c r="AS45" s="4" t="b">
        <f>ISNUMBER(SEARCH(H45,AQ45))</f>
        <v>0</v>
      </c>
      <c r="AT45" s="4" t="b">
        <f>AND(NOT(ISBLANK(I45)),(ISNUMBER(SEARCH(I45,AQ45))))</f>
        <v>0</v>
      </c>
      <c r="AU45" s="4" t="b">
        <f>(IFERROR(SEARCH(AF45,AQ45),0)+IFERROR(SEARCH(AG45,AQ45),0))&gt;0</f>
        <v>0</v>
      </c>
      <c r="AV45" s="47"/>
      <c r="AW45" s="47" t="s">
        <v>689</v>
      </c>
      <c r="AX45" s="47"/>
      <c r="AY45" s="47"/>
      <c r="AZ45" s="127">
        <v>204</v>
      </c>
      <c r="BA45" s="47" t="str">
        <f>VLOOKUP(AZ45,defense2_list,7,FALSE)</f>
        <v>PhuongLHK_ChiLTQ6_VuLNS_NhanDT35_LongT5</v>
      </c>
      <c r="BB45" s="57">
        <f>COUNTIF(defense2_forgroup_code,AZ45)</f>
        <v>2</v>
      </c>
      <c r="BC45" s="4" t="b">
        <f>ISNUMBER(SEARCH(H45,BA45))</f>
        <v>0</v>
      </c>
      <c r="BD45" s="4" t="b">
        <f>AND(NOT(ISBLANK(I45)),(ISNUMBER(SEARCH(I45,AZ45))))</f>
        <v>0</v>
      </c>
      <c r="BE45" s="4"/>
      <c r="BF45" s="47"/>
      <c r="BG45" s="47"/>
    </row>
    <row r="46" spans="1:59" ht="29.5" thickBot="1" x14ac:dyDescent="0.4">
      <c r="A46" s="47">
        <v>51</v>
      </c>
      <c r="B46" s="48"/>
      <c r="C46" s="49" t="s">
        <v>131</v>
      </c>
      <c r="D46" s="58" t="s">
        <v>132</v>
      </c>
      <c r="E46" s="14" t="s">
        <v>133</v>
      </c>
      <c r="F46" s="14" t="s">
        <v>134</v>
      </c>
      <c r="G46" s="49" t="s">
        <v>79</v>
      </c>
      <c r="H46" s="50" t="s">
        <v>638</v>
      </c>
      <c r="I46" s="51"/>
      <c r="J46" s="6">
        <v>4244</v>
      </c>
      <c r="K46" s="6">
        <f>COUNTIF(review1_code,J46)</f>
        <v>3</v>
      </c>
      <c r="L46" s="4" t="str">
        <f>VLOOKUP(J46,review1,10,FALSE)</f>
        <v>TriPT9</v>
      </c>
      <c r="M46" s="4" t="str">
        <f>VLOOKUP(J46,review1,11,FALSE)</f>
        <v>LamNN15</v>
      </c>
      <c r="N46" s="47" t="b">
        <f>OR(EXACT(L46,H46),EXACT(L46,I46),EXACT(M46,H46),EXACT(M46,I46))</f>
        <v>0</v>
      </c>
      <c r="O46" s="52">
        <f>VLOOKUP(J46,review1,7,FALSE)</f>
        <v>46049</v>
      </c>
      <c r="P46" s="52" t="str">
        <f>VLOOKUP(J46,review1,8,FALSE)</f>
        <v>Tue</v>
      </c>
      <c r="Q46" s="47">
        <f>INT(MOD(J46/10,10))</f>
        <v>4</v>
      </c>
      <c r="R46" s="47" t="str">
        <f>VLOOKUP(J46,review1,9,FALSE)</f>
        <v>NVH G.01</v>
      </c>
      <c r="S46" s="47">
        <f>J46+4000</f>
        <v>8244</v>
      </c>
      <c r="T46" s="6">
        <v>8244</v>
      </c>
      <c r="U46" s="6">
        <f>COUNTIF(review2_code,T46)</f>
        <v>3</v>
      </c>
      <c r="V46" s="4" t="str">
        <f>VLOOKUP(T46,review2,10,FALSE)</f>
        <v>TriPT9</v>
      </c>
      <c r="W46" s="4" t="str">
        <f>VLOOKUP(T46,review2,11,FALSE)</f>
        <v>LamNN15</v>
      </c>
      <c r="X46" s="4" t="b">
        <f>OR(EXACT(V46,H46),EXACT(V46,I46),EXACT(W46,H46),EXACT(W46,I46))</f>
        <v>0</v>
      </c>
      <c r="Y46" s="53">
        <f>VLOOKUP(T46,review2,7,FALSE)</f>
        <v>46090</v>
      </c>
      <c r="Z46" s="53" t="str">
        <f>VLOOKUP(T46,review2,8,FALSE)</f>
        <v>Mon</v>
      </c>
      <c r="AA46" s="47">
        <f>INT(MOD(T46/10,10))</f>
        <v>4</v>
      </c>
      <c r="AB46" s="47" t="e">
        <f>VLOOKUP(J46,review2,9,FALSE)</f>
        <v>#N/A</v>
      </c>
      <c r="AC46" s="47"/>
      <c r="AD46" s="6">
        <v>14251</v>
      </c>
      <c r="AE46" s="6">
        <f>COUNTIF(review3_code,AD46)</f>
        <v>3</v>
      </c>
      <c r="AF46" s="54" t="str">
        <f>VLOOKUP(AD46,review3,10,FALSE)</f>
        <v>PhuongLHK</v>
      </c>
      <c r="AG46" s="54" t="str">
        <f>VLOOKUP(AD46,review3,11,FALSE)</f>
        <v>NhanDT35</v>
      </c>
      <c r="AH46" s="47" t="b">
        <f>OR(EXACT(AF46,H46),EXACT(AF46,I46),EXACT(AG46,H46),EXACT(AG46,I46))</f>
        <v>0</v>
      </c>
      <c r="AI46" s="47" t="b">
        <f>OR(EXACT(AF46,V46),EXACT(AF46,W46),EXACT(AG46,V46),EXACT(AG46,W46))</f>
        <v>0</v>
      </c>
      <c r="AJ46" s="53">
        <f>VLOOKUP(AD46,review3,7,FALSE)</f>
        <v>46132</v>
      </c>
      <c r="AK46" s="53" t="str">
        <f>VLOOKUP(AD46,review3,8,FALSE)</f>
        <v>Mon</v>
      </c>
      <c r="AL46" s="47">
        <f>VLOOKUP(AD46,review3,4,FALSE)</f>
        <v>5</v>
      </c>
      <c r="AM46" s="47" t="str">
        <f>VLOOKUP(AD46,review3,9,FALSE)</f>
        <v>NVH.301</v>
      </c>
      <c r="AN46" s="55"/>
      <c r="AO46" t="s">
        <v>688</v>
      </c>
      <c r="AP46" s="56">
        <v>204</v>
      </c>
      <c r="AQ46" s="47" t="str">
        <f>VLOOKUP(AP46,defense1_list,7,FALSE)</f>
        <v>PhuongLHK_PhucNT40_VuLNS_MinhTTH5_ThinhDP2</v>
      </c>
      <c r="AR46" s="57">
        <f>COUNTIF(defense1_forgroup_code,AP46)</f>
        <v>8</v>
      </c>
      <c r="AS46" s="4" t="b">
        <f>ISNUMBER(SEARCH(H46,AQ46))</f>
        <v>0</v>
      </c>
      <c r="AT46" s="4" t="b">
        <f>AND(NOT(ISBLANK(I46)),(ISNUMBER(SEARCH(I46,AQ46))))</f>
        <v>0</v>
      </c>
      <c r="AU46" s="4" t="b">
        <f>(IFERROR(SEARCH(AF46,AQ46),0)+IFERROR(SEARCH(AG46,AQ46),0))&gt;0</f>
        <v>1</v>
      </c>
      <c r="AV46" s="47"/>
      <c r="AW46" s="47" t="s">
        <v>689</v>
      </c>
      <c r="AX46" s="47"/>
      <c r="AY46" s="47"/>
      <c r="AZ46" s="127">
        <v>204</v>
      </c>
      <c r="BA46" s="47" t="str">
        <f>VLOOKUP(AZ46,defense2_list,7,FALSE)</f>
        <v>PhuongLHK_ChiLTQ6_VuLNS_NhanDT35_LongT5</v>
      </c>
      <c r="BB46" s="57">
        <f>COUNTIF(defense2_forgroup_code,AZ46)</f>
        <v>2</v>
      </c>
      <c r="BC46" s="4" t="b">
        <f>ISNUMBER(SEARCH(H46,BA46))</f>
        <v>0</v>
      </c>
      <c r="BD46" s="4" t="b">
        <f>AND(NOT(ISBLANK(I46)),(ISNUMBER(SEARCH(I46,AZ46))))</f>
        <v>0</v>
      </c>
      <c r="BE46" s="4"/>
      <c r="BF46" s="47"/>
      <c r="BG46" s="47"/>
    </row>
    <row r="47" spans="1:59" ht="29.5" thickBot="1" x14ac:dyDescent="0.4">
      <c r="A47" s="47">
        <v>47</v>
      </c>
      <c r="B47" s="48"/>
      <c r="C47" s="49" t="s">
        <v>115</v>
      </c>
      <c r="D47" s="58" t="s">
        <v>116</v>
      </c>
      <c r="E47" s="14" t="s">
        <v>117</v>
      </c>
      <c r="F47" s="14" t="s">
        <v>118</v>
      </c>
      <c r="G47" s="49" t="s">
        <v>600</v>
      </c>
      <c r="H47" s="50" t="s">
        <v>646</v>
      </c>
      <c r="I47" s="51" t="s">
        <v>12</v>
      </c>
      <c r="J47" s="6">
        <v>4223</v>
      </c>
      <c r="K47" s="6">
        <f>COUNTIF(review1_code,J47)</f>
        <v>3</v>
      </c>
      <c r="L47" s="4" t="str">
        <f>VLOOKUP(J47,review1,10,FALSE)</f>
        <v>PhuongLHK</v>
      </c>
      <c r="M47" s="4" t="str">
        <f>VLOOKUP(J47,review1,11,FALSE)</f>
        <v>MinhTTH5</v>
      </c>
      <c r="N47" s="47" t="b">
        <f>OR(EXACT(L47,H47),EXACT(L47,I47),EXACT(M47,H47),EXACT(M47,I47))</f>
        <v>0</v>
      </c>
      <c r="O47" s="52">
        <f>VLOOKUP(J47,review1,7,FALSE)</f>
        <v>46049</v>
      </c>
      <c r="P47" s="52" t="str">
        <f>VLOOKUP(J47,review1,8,FALSE)</f>
        <v>Tue</v>
      </c>
      <c r="Q47" s="47">
        <f>INT(MOD(J47/10,10))</f>
        <v>2</v>
      </c>
      <c r="R47" s="47" t="str">
        <f>VLOOKUP(J47,review1,9,FALSE)</f>
        <v>NVH G.01</v>
      </c>
      <c r="S47" s="47">
        <f>J47+4000</f>
        <v>8223</v>
      </c>
      <c r="T47" s="6">
        <v>8223</v>
      </c>
      <c r="U47" s="6">
        <f>COUNTIF(review2_code,T47)</f>
        <v>3</v>
      </c>
      <c r="V47" s="4" t="str">
        <f>VLOOKUP(T47,review2,10,FALSE)</f>
        <v>PhuongLHK</v>
      </c>
      <c r="W47" s="4" t="str">
        <f>VLOOKUP(T47,review2,11,FALSE)</f>
        <v>MinhTTH5</v>
      </c>
      <c r="X47" s="4" t="b">
        <f>OR(EXACT(V47,H47),EXACT(V47,I47),EXACT(W47,H47),EXACT(W47,I47))</f>
        <v>0</v>
      </c>
      <c r="Y47" s="53">
        <f>VLOOKUP(T47,review2,7,FALSE)</f>
        <v>46090</v>
      </c>
      <c r="Z47" s="53" t="str">
        <f>VLOOKUP(T47,review2,8,FALSE)</f>
        <v>Mon</v>
      </c>
      <c r="AA47" s="47">
        <f>INT(MOD(T47/10,10))</f>
        <v>2</v>
      </c>
      <c r="AB47" s="47" t="e">
        <f>VLOOKUP(J47,review2,9,FALSE)</f>
        <v>#N/A</v>
      </c>
      <c r="AC47" s="47"/>
      <c r="AD47" s="6">
        <v>14232</v>
      </c>
      <c r="AE47" s="6">
        <f>COUNTIF(review3_code,AD47)</f>
        <v>3</v>
      </c>
      <c r="AF47" s="54" t="str">
        <f>VLOOKUP(AD47,review3,10,FALSE)</f>
        <v>HuongNTC2</v>
      </c>
      <c r="AG47" s="54" t="str">
        <f>VLOOKUP(AD47,review3,11,FALSE)</f>
        <v>SangNM18</v>
      </c>
      <c r="AH47" s="47" t="b">
        <f>OR(EXACT(AF47,H47),EXACT(AF47,I47),EXACT(AG47,H47),EXACT(AG47,I47))</f>
        <v>0</v>
      </c>
      <c r="AI47" s="47" t="b">
        <f>OR(EXACT(AF47,V47),EXACT(AF47,W47),EXACT(AG47,V47),EXACT(AG47,W47))</f>
        <v>0</v>
      </c>
      <c r="AJ47" s="53">
        <f>VLOOKUP(AD47,review3,7,FALSE)</f>
        <v>46132</v>
      </c>
      <c r="AK47" s="53" t="str">
        <f>VLOOKUP(AD47,review3,8,FALSE)</f>
        <v>Mon</v>
      </c>
      <c r="AL47" s="47">
        <f>VLOOKUP(AD47,review3,4,FALSE)</f>
        <v>3</v>
      </c>
      <c r="AM47" s="47" t="str">
        <f>VLOOKUP(AD47,review3,9,FALSE)</f>
        <v>NVH.414</v>
      </c>
      <c r="AN47" s="55"/>
      <c r="AO47" t="s">
        <v>688</v>
      </c>
      <c r="AP47" s="56">
        <v>301</v>
      </c>
      <c r="AQ47" s="47" t="str">
        <f>VLOOKUP(AP47,defense1_list,7,FALSE)</f>
        <v>HuongNTC2_VanTTN2_TamPM_LinhNV (Long Chau)_LamNN15</v>
      </c>
      <c r="AR47" s="57">
        <f>COUNTIF(defense1_forgroup_code,AP47)</f>
        <v>7</v>
      </c>
      <c r="AS47" s="4" t="b">
        <f>ISNUMBER(SEARCH(H47,AQ47))</f>
        <v>0</v>
      </c>
      <c r="AT47" s="4" t="b">
        <f>AND(NOT(ISBLANK(I47)),(ISNUMBER(SEARCH(I47,AQ47))))</f>
        <v>0</v>
      </c>
      <c r="AU47" s="4" t="b">
        <f>(IFERROR(SEARCH(AF47,AQ47),0)+IFERROR(SEARCH(AG47,AQ47),0))&gt;0</f>
        <v>1</v>
      </c>
      <c r="AV47" s="47"/>
      <c r="AW47" s="47" t="s">
        <v>689</v>
      </c>
      <c r="AX47" s="47"/>
      <c r="AY47" s="47"/>
      <c r="AZ47" s="127">
        <v>301</v>
      </c>
      <c r="BA47" s="47" t="str">
        <f>VLOOKUP(AZ47,defense2_list,7,FALSE)</f>
        <v>HuongNTC2_ChiLTQ6_TamPM_VanTTN2_LamNN15</v>
      </c>
      <c r="BB47" s="57">
        <f>COUNTIF(defense2_forgroup_code,AZ47)</f>
        <v>2</v>
      </c>
      <c r="BC47" s="4" t="b">
        <f>ISNUMBER(SEARCH(H47,BA47))</f>
        <v>0</v>
      </c>
      <c r="BD47" s="4" t="b">
        <f>AND(NOT(ISBLANK(I47)),(ISNUMBER(SEARCH(I47,AZ47))))</f>
        <v>0</v>
      </c>
      <c r="BE47" s="4"/>
      <c r="BF47" s="47"/>
      <c r="BG47" s="47"/>
    </row>
    <row r="48" spans="1:59" ht="15" thickBot="1" x14ac:dyDescent="0.4">
      <c r="A48" s="47">
        <v>50</v>
      </c>
      <c r="B48" s="48"/>
      <c r="C48" s="49" t="s">
        <v>273</v>
      </c>
      <c r="D48" s="58" t="s">
        <v>274</v>
      </c>
      <c r="E48" s="14" t="s">
        <v>275</v>
      </c>
      <c r="F48" s="14" t="s">
        <v>276</v>
      </c>
      <c r="G48" s="49" t="s">
        <v>614</v>
      </c>
      <c r="H48" s="50" t="s">
        <v>647</v>
      </c>
      <c r="I48" s="51" t="s">
        <v>21</v>
      </c>
      <c r="J48" s="6">
        <v>4141</v>
      </c>
      <c r="K48" s="6">
        <f>COUNTIF(review1_code,J48)</f>
        <v>3</v>
      </c>
      <c r="L48" s="4" t="str">
        <f>VLOOKUP(J48,review1,10,FALSE)</f>
        <v>NhanDT35</v>
      </c>
      <c r="M48" s="4" t="str">
        <f>VLOOKUP(J48,review1,11,FALSE)</f>
        <v>LongT5</v>
      </c>
      <c r="N48" s="47" t="b">
        <f>OR(EXACT(L48,H48),EXACT(L48,I48),EXACT(M48,H48),EXACT(M48,I48))</f>
        <v>0</v>
      </c>
      <c r="O48" s="52">
        <f>VLOOKUP(J48,review1,7,FALSE)</f>
        <v>46048</v>
      </c>
      <c r="P48" s="52" t="str">
        <f>VLOOKUP(J48,review1,8,FALSE)</f>
        <v>Mon</v>
      </c>
      <c r="Q48" s="47">
        <f>INT(MOD(J48/10,10))</f>
        <v>4</v>
      </c>
      <c r="R48" s="47" t="str">
        <f>VLOOKUP(J48,review1,9,FALSE)</f>
        <v>NVH G.01</v>
      </c>
      <c r="S48" s="47">
        <f>J48+4000</f>
        <v>8141</v>
      </c>
      <c r="T48" s="6">
        <v>8141</v>
      </c>
      <c r="U48" s="6">
        <f>COUNTIF(review2_code,T48)</f>
        <v>3</v>
      </c>
      <c r="V48" s="4" t="str">
        <f>VLOOKUP(T48,review2,10,FALSE)</f>
        <v>NhanDT35</v>
      </c>
      <c r="W48" s="4" t="str">
        <f>VLOOKUP(T48,review2,11,FALSE)</f>
        <v>LongT5</v>
      </c>
      <c r="X48" s="4" t="b">
        <f>OR(EXACT(V48,H48),EXACT(V48,I48),EXACT(W48,H48),EXACT(W48,I48))</f>
        <v>0</v>
      </c>
      <c r="Y48" s="53">
        <f>VLOOKUP(T48,review2,7,FALSE)</f>
        <v>46089</v>
      </c>
      <c r="Z48" s="53" t="str">
        <f>VLOOKUP(T48,review2,8,FALSE)</f>
        <v>Sun</v>
      </c>
      <c r="AA48" s="47">
        <f>INT(MOD(T48/10,10))</f>
        <v>4</v>
      </c>
      <c r="AB48" s="47" t="e">
        <f>VLOOKUP(J48,review2,9,FALSE)</f>
        <v>#N/A</v>
      </c>
      <c r="AC48" s="47"/>
      <c r="AD48" s="6">
        <v>14222</v>
      </c>
      <c r="AE48" s="6">
        <f>COUNTIF(review3_code,AD48)</f>
        <v>3</v>
      </c>
      <c r="AF48" s="54" t="str">
        <f>VLOOKUP(AD48,review3,10,FALSE)</f>
        <v>HuongNTC2</v>
      </c>
      <c r="AG48" s="54" t="str">
        <f>VLOOKUP(AD48,review3,11,FALSE)</f>
        <v>VanTTN2</v>
      </c>
      <c r="AH48" s="47" t="b">
        <f>OR(EXACT(AF48,H48),EXACT(AF48,I48),EXACT(AG48,H48),EXACT(AG48,I48))</f>
        <v>0</v>
      </c>
      <c r="AI48" s="47" t="b">
        <f>OR(EXACT(AF48,V48),EXACT(AF48,W48),EXACT(AG48,V48),EXACT(AG48,W48))</f>
        <v>0</v>
      </c>
      <c r="AJ48" s="53">
        <f>VLOOKUP(AD48,review3,7,FALSE)</f>
        <v>46132</v>
      </c>
      <c r="AK48" s="53" t="str">
        <f>VLOOKUP(AD48,review3,8,FALSE)</f>
        <v>Mon</v>
      </c>
      <c r="AL48" s="47">
        <f>VLOOKUP(AD48,review3,4,FALSE)</f>
        <v>2</v>
      </c>
      <c r="AM48" s="47" t="str">
        <f>VLOOKUP(AD48,review3,9,FALSE)</f>
        <v>NVH.414</v>
      </c>
      <c r="AN48" s="55"/>
      <c r="AO48" t="s">
        <v>688</v>
      </c>
      <c r="AP48" s="122">
        <v>301</v>
      </c>
      <c r="AQ48" s="47" t="str">
        <f>VLOOKUP(AP48,defense1_list,7,FALSE)</f>
        <v>HuongNTC2_VanTTN2_TamPM_LinhNV (Long Chau)_LamNN15</v>
      </c>
      <c r="AR48" s="57">
        <f>COUNTIF(defense1_forgroup_code,AP48)</f>
        <v>7</v>
      </c>
      <c r="AS48" s="4" t="b">
        <f>ISNUMBER(SEARCH(H48,AQ48))</f>
        <v>0</v>
      </c>
      <c r="AT48" s="4" t="b">
        <f>AND(NOT(ISBLANK(I48)),(ISNUMBER(SEARCH(I48,AQ48))))</f>
        <v>0</v>
      </c>
      <c r="AU48" s="4" t="b">
        <f>(IFERROR(SEARCH(AF48,AQ48),0)+IFERROR(SEARCH(AG48,AQ48),0))&gt;0</f>
        <v>1</v>
      </c>
      <c r="AV48" s="47"/>
      <c r="AW48" s="47" t="s">
        <v>689</v>
      </c>
      <c r="AX48" s="47"/>
      <c r="AY48" s="47"/>
      <c r="AZ48" s="129">
        <v>301</v>
      </c>
      <c r="BA48" s="47" t="str">
        <f>VLOOKUP(AZ48,defense2_list,7,FALSE)</f>
        <v>HuongNTC2_ChiLTQ6_TamPM_VanTTN2_LamNN15</v>
      </c>
      <c r="BB48" s="57">
        <f>COUNTIF(defense2_forgroup_code,AZ48)</f>
        <v>2</v>
      </c>
      <c r="BC48" s="4" t="b">
        <f>ISNUMBER(SEARCH(H48,BA48))</f>
        <v>0</v>
      </c>
      <c r="BD48" s="4" t="b">
        <f>AND(NOT(ISBLANK(I48)),(ISNUMBER(SEARCH(I48,AZ48))))</f>
        <v>0</v>
      </c>
      <c r="BE48" s="4"/>
      <c r="BF48" s="47"/>
      <c r="BG48" s="47"/>
    </row>
    <row r="49" spans="1:59" ht="15" thickBot="1" x14ac:dyDescent="0.4">
      <c r="A49" s="47">
        <v>2</v>
      </c>
      <c r="B49" s="48"/>
      <c r="C49" s="49" t="s">
        <v>364</v>
      </c>
      <c r="D49" s="58" t="s">
        <v>365</v>
      </c>
      <c r="E49" s="14" t="s">
        <v>366</v>
      </c>
      <c r="F49" s="14" t="s">
        <v>367</v>
      </c>
      <c r="G49" s="49" t="s">
        <v>66</v>
      </c>
      <c r="H49" s="50" t="s">
        <v>18</v>
      </c>
      <c r="I49" s="51"/>
      <c r="J49" s="6">
        <v>3521</v>
      </c>
      <c r="K49" s="6">
        <f>COUNTIF(review1_code,J49)</f>
        <v>2</v>
      </c>
      <c r="L49" s="4" t="str">
        <f>VLOOKUP(J49,review1,10,FALSE)</f>
        <v>HuongNTC2</v>
      </c>
      <c r="M49" s="4" t="str">
        <f>VLOOKUP(J49,review1,11,FALSE)</f>
        <v>PhuongLHK</v>
      </c>
      <c r="N49" s="47" t="b">
        <f>OR(EXACT(L49,H49),EXACT(L49,I49),EXACT(M49,H49),EXACT(M49,I49))</f>
        <v>0</v>
      </c>
      <c r="O49" s="52">
        <f>VLOOKUP(J49,review1,7,FALSE)</f>
        <v>46045</v>
      </c>
      <c r="P49" s="52" t="str">
        <f>VLOOKUP(J49,review1,8,FALSE)</f>
        <v>Fri</v>
      </c>
      <c r="Q49" s="47">
        <f>INT(MOD(J49/10,10))</f>
        <v>2</v>
      </c>
      <c r="R49" s="47" t="str">
        <f>VLOOKUP(J49,review1,9,FALSE)</f>
        <v>NVH G.04</v>
      </c>
      <c r="S49" s="47">
        <f>J49+4000</f>
        <v>7521</v>
      </c>
      <c r="T49" s="6">
        <v>7521</v>
      </c>
      <c r="U49" s="6">
        <f>COUNTIF(review2_code,T49)</f>
        <v>2</v>
      </c>
      <c r="V49" s="4" t="str">
        <f>VLOOKUP(T49,review2,10,FALSE)</f>
        <v>HuongNTC2</v>
      </c>
      <c r="W49" s="4" t="str">
        <f>VLOOKUP(T49,review2,11,FALSE)</f>
        <v>PhuongLHK</v>
      </c>
      <c r="X49" s="4" t="b">
        <f>OR(EXACT(V49,H49),EXACT(V49,I49),EXACT(W49,H49),EXACT(W49,I49))</f>
        <v>0</v>
      </c>
      <c r="Y49" s="53">
        <f>VLOOKUP(T49,review2,7,FALSE)</f>
        <v>46086</v>
      </c>
      <c r="Z49" s="53" t="str">
        <f>VLOOKUP(T49,review2,8,FALSE)</f>
        <v>Thu</v>
      </c>
      <c r="AA49" s="47">
        <f>INT(MOD(T49/10,10))</f>
        <v>2</v>
      </c>
      <c r="AB49" s="47" t="e">
        <f>VLOOKUP(J49,review2,9,FALSE)</f>
        <v>#N/A</v>
      </c>
      <c r="AC49" s="47"/>
      <c r="AD49" s="6">
        <v>14533</v>
      </c>
      <c r="AE49" s="6">
        <f>COUNTIF(review3_code,AD49)</f>
        <v>3</v>
      </c>
      <c r="AF49" s="54" t="str">
        <f>VLOOKUP(AD49,review3,10,FALSE)</f>
        <v>TaiNT51</v>
      </c>
      <c r="AG49" s="54" t="str">
        <f>VLOOKUP(AD49,review3,11,FALSE)</f>
        <v>SangNM18</v>
      </c>
      <c r="AH49" s="47" t="b">
        <f>OR(EXACT(AF49,H49),EXACT(AF49,I49),EXACT(AG49,H49),EXACT(AG49,I49))</f>
        <v>0</v>
      </c>
      <c r="AI49" s="47" t="b">
        <f>OR(EXACT(AF49,V49),EXACT(AF49,W49),EXACT(AG49,V49),EXACT(AG49,W49))</f>
        <v>0</v>
      </c>
      <c r="AJ49" s="53">
        <f>VLOOKUP(AD49,review3,7,FALSE)</f>
        <v>46135</v>
      </c>
      <c r="AK49" s="53" t="str">
        <f>VLOOKUP(AD49,review3,8,FALSE)</f>
        <v>Thu</v>
      </c>
      <c r="AL49" s="47">
        <f>VLOOKUP(AD49,review3,4,FALSE)</f>
        <v>3</v>
      </c>
      <c r="AM49" s="47" t="str">
        <f>VLOOKUP(AD49,review3,9,FALSE)</f>
        <v>NVH.415</v>
      </c>
      <c r="AN49" s="55"/>
      <c r="AO49" t="s">
        <v>688</v>
      </c>
      <c r="AP49" s="56">
        <v>302</v>
      </c>
      <c r="AQ49" s="47" t="str">
        <f>VLOOKUP(AP49,defense1_list,7,FALSE)</f>
        <v>TaiNT51_QuynhTNN4_AnNDH2_MinhTTH5_TruongLV11</v>
      </c>
      <c r="AR49" s="57">
        <f>COUNTIF(defense1_forgroup_code,AP49)</f>
        <v>8</v>
      </c>
      <c r="AS49" s="4" t="b">
        <f>ISNUMBER(SEARCH(H49,AQ49))</f>
        <v>0</v>
      </c>
      <c r="AT49" s="4" t="b">
        <f>AND(NOT(ISBLANK(I49)),(ISNUMBER(SEARCH(I49,AQ49))))</f>
        <v>0</v>
      </c>
      <c r="AU49" s="4" t="b">
        <f>(IFERROR(SEARCH(AF49,AQ49),0)+IFERROR(SEARCH(AG49,AQ49),0))&gt;0</f>
        <v>1</v>
      </c>
      <c r="AV49" s="47"/>
      <c r="AW49" s="47" t="s">
        <v>689</v>
      </c>
      <c r="AX49" s="47"/>
      <c r="AY49" s="47"/>
      <c r="AZ49" s="127">
        <v>302</v>
      </c>
      <c r="BA49" s="47" t="str">
        <f>VLOOKUP(AZ49,defense2_list,7,FALSE)</f>
        <v>TaiNT51_QuynhTNN4_AnNDH2_MinhTTH5_TruongLV11</v>
      </c>
      <c r="BB49" s="57">
        <f>COUNTIF(defense2_forgroup_code,AZ49)</f>
        <v>2</v>
      </c>
      <c r="BC49" s="4" t="b">
        <f>ISNUMBER(SEARCH(H49,BA49))</f>
        <v>0</v>
      </c>
      <c r="BD49" s="4" t="b">
        <f>AND(NOT(ISBLANK(I49)),(ISNUMBER(SEARCH(I49,AZ49))))</f>
        <v>0</v>
      </c>
      <c r="BE49" s="4"/>
      <c r="BF49" s="47"/>
      <c r="BG49" s="47"/>
    </row>
    <row r="50" spans="1:59" ht="29.5" thickBot="1" x14ac:dyDescent="0.4">
      <c r="A50" s="47">
        <v>89</v>
      </c>
      <c r="B50" s="48"/>
      <c r="C50" s="49" t="s">
        <v>368</v>
      </c>
      <c r="D50" s="58" t="s">
        <v>369</v>
      </c>
      <c r="E50" s="14" t="s">
        <v>370</v>
      </c>
      <c r="F50" s="14" t="s">
        <v>371</v>
      </c>
      <c r="G50" s="49" t="s">
        <v>79</v>
      </c>
      <c r="H50" s="50" t="s">
        <v>638</v>
      </c>
      <c r="I50" s="51"/>
      <c r="J50" s="6">
        <v>3532</v>
      </c>
      <c r="K50" s="6">
        <f>COUNTIF(review1_code,J50)</f>
        <v>3</v>
      </c>
      <c r="L50" s="4" t="str">
        <f>VLOOKUP(J50,review1,10,FALSE)</f>
        <v>HuongNTC2</v>
      </c>
      <c r="M50" s="4" t="str">
        <f>VLOOKUP(J50,review1,11,FALSE)</f>
        <v>LongT5</v>
      </c>
      <c r="N50" s="47" t="b">
        <f>OR(EXACT(L50,H50),EXACT(L50,I50),EXACT(M50,H50),EXACT(M50,I50))</f>
        <v>0</v>
      </c>
      <c r="O50" s="52">
        <f>VLOOKUP(J50,review1,7,FALSE)</f>
        <v>46045</v>
      </c>
      <c r="P50" s="52" t="str">
        <f>VLOOKUP(J50,review1,8,FALSE)</f>
        <v>Fri</v>
      </c>
      <c r="Q50" s="47">
        <f>INT(MOD(J50/10,10))</f>
        <v>3</v>
      </c>
      <c r="R50" s="47" t="str">
        <f>VLOOKUP(J50,review1,9,FALSE)</f>
        <v>NVH G.04</v>
      </c>
      <c r="S50" s="47">
        <f>J50+4000</f>
        <v>7532</v>
      </c>
      <c r="T50" s="6">
        <v>7532</v>
      </c>
      <c r="U50" s="6">
        <f>COUNTIF(review2_code,T50)</f>
        <v>3</v>
      </c>
      <c r="V50" s="4" t="str">
        <f>VLOOKUP(T50,review2,10,FALSE)</f>
        <v>HuongNTC2</v>
      </c>
      <c r="W50" s="4" t="str">
        <f>VLOOKUP(T50,review2,11,FALSE)</f>
        <v>LongT5</v>
      </c>
      <c r="X50" s="4" t="b">
        <f>OR(EXACT(V50,H50),EXACT(V50,I50),EXACT(W50,H50),EXACT(W50,I50))</f>
        <v>0</v>
      </c>
      <c r="Y50" s="53">
        <f>VLOOKUP(T50,review2,7,FALSE)</f>
        <v>46086</v>
      </c>
      <c r="Z50" s="53" t="str">
        <f>VLOOKUP(T50,review2,8,FALSE)</f>
        <v>Thu</v>
      </c>
      <c r="AA50" s="47">
        <f>INT(MOD(T50/10,10))</f>
        <v>3</v>
      </c>
      <c r="AB50" s="47" t="e">
        <f>VLOOKUP(J50,review2,9,FALSE)</f>
        <v>#N/A</v>
      </c>
      <c r="AC50" s="47"/>
      <c r="AD50" s="6">
        <v>14421</v>
      </c>
      <c r="AE50" s="6">
        <f>COUNTIF(review3_code,AD50)</f>
        <v>3</v>
      </c>
      <c r="AF50" s="54" t="str">
        <f>VLOOKUP(AD50,review3,10,FALSE)</f>
        <v>TaiNT51</v>
      </c>
      <c r="AG50" s="54" t="str">
        <f>VLOOKUP(AD50,review3,11,FALSE)</f>
        <v>VanTTN2</v>
      </c>
      <c r="AH50" s="47" t="b">
        <f>OR(EXACT(AF50,H50),EXACT(AF50,I50),EXACT(AG50,H50),EXACT(AG50,I50))</f>
        <v>0</v>
      </c>
      <c r="AI50" s="47" t="b">
        <f>OR(EXACT(AF50,V50),EXACT(AF50,W50),EXACT(AG50,V50),EXACT(AG50,W50))</f>
        <v>0</v>
      </c>
      <c r="AJ50" s="53">
        <f>VLOOKUP(AD50,review3,7,FALSE)</f>
        <v>46134</v>
      </c>
      <c r="AK50" s="53" t="str">
        <f>VLOOKUP(AD50,review3,8,FALSE)</f>
        <v>Wed</v>
      </c>
      <c r="AL50" s="47">
        <f>VLOOKUP(AD50,review3,4,FALSE)</f>
        <v>2</v>
      </c>
      <c r="AM50" s="47" t="str">
        <f>VLOOKUP(AD50,review3,9,FALSE)</f>
        <v>NVH.415</v>
      </c>
      <c r="AN50" s="55"/>
      <c r="AO50" t="s">
        <v>688</v>
      </c>
      <c r="AP50" s="122">
        <v>302</v>
      </c>
      <c r="AQ50" s="47" t="str">
        <f>VLOOKUP(AP50,defense1_list,7,FALSE)</f>
        <v>TaiNT51_QuynhTNN4_AnNDH2_MinhTTH5_TruongLV11</v>
      </c>
      <c r="AR50" s="57">
        <f>COUNTIF(defense1_forgroup_code,AP50)</f>
        <v>8</v>
      </c>
      <c r="AS50" s="4" t="b">
        <f>ISNUMBER(SEARCH(H50,AQ50))</f>
        <v>0</v>
      </c>
      <c r="AT50" s="4" t="b">
        <f>AND(NOT(ISBLANK(I50)),(ISNUMBER(SEARCH(I50,AQ50))))</f>
        <v>0</v>
      </c>
      <c r="AU50" s="4" t="b">
        <f>(IFERROR(SEARCH(AF50,AQ50),0)+IFERROR(SEARCH(AG50,AQ50),0))&gt;0</f>
        <v>1</v>
      </c>
      <c r="AV50" s="47"/>
      <c r="AW50" s="47" t="s">
        <v>689</v>
      </c>
      <c r="AX50" s="47"/>
      <c r="AY50" s="47"/>
      <c r="AZ50" s="129">
        <v>302</v>
      </c>
      <c r="BA50" s="47" t="str">
        <f>VLOOKUP(AZ50,defense2_list,7,FALSE)</f>
        <v>TaiNT51_QuynhTNN4_AnNDH2_MinhTTH5_TruongLV11</v>
      </c>
      <c r="BB50" s="57">
        <f>COUNTIF(defense2_forgroup_code,AZ50)</f>
        <v>2</v>
      </c>
      <c r="BC50" s="4" t="b">
        <f>ISNUMBER(SEARCH(H50,BA50))</f>
        <v>0</v>
      </c>
      <c r="BD50" s="4" t="b">
        <f>AND(NOT(ISBLANK(I50)),(ISNUMBER(SEARCH(I50,AZ50))))</f>
        <v>0</v>
      </c>
      <c r="BE50" s="4"/>
      <c r="BF50" s="47"/>
      <c r="BG50" s="47"/>
    </row>
    <row r="51" spans="1:59" ht="29.5" thickBot="1" x14ac:dyDescent="0.4">
      <c r="A51" s="47">
        <v>14</v>
      </c>
      <c r="B51" s="48"/>
      <c r="C51" s="49" t="s">
        <v>380</v>
      </c>
      <c r="D51" s="58" t="s">
        <v>381</v>
      </c>
      <c r="E51" s="14" t="s">
        <v>382</v>
      </c>
      <c r="F51" s="14" t="s">
        <v>383</v>
      </c>
      <c r="G51" s="49" t="s">
        <v>68</v>
      </c>
      <c r="H51" s="50" t="s">
        <v>29</v>
      </c>
      <c r="I51" s="51"/>
      <c r="J51" s="6">
        <v>3544</v>
      </c>
      <c r="K51" s="6">
        <f>COUNTIF(review1_code,J51)</f>
        <v>3</v>
      </c>
      <c r="L51" s="4" t="str">
        <f>VLOOKUP(J51,review1,10,FALSE)</f>
        <v>HuongNTC2</v>
      </c>
      <c r="M51" s="4" t="str">
        <f>VLOOKUP(J51,review1,11,FALSE)</f>
        <v>LamNN15</v>
      </c>
      <c r="N51" s="47" t="b">
        <f>OR(EXACT(L51,H51),EXACT(L51,I51),EXACT(M51,H51),EXACT(M51,I51))</f>
        <v>0</v>
      </c>
      <c r="O51" s="52">
        <f>VLOOKUP(J51,review1,7,FALSE)</f>
        <v>46045</v>
      </c>
      <c r="P51" s="52" t="str">
        <f>VLOOKUP(J51,review1,8,FALSE)</f>
        <v>Fri</v>
      </c>
      <c r="Q51" s="47">
        <f>INT(MOD(J51/10,10))</f>
        <v>4</v>
      </c>
      <c r="R51" s="47" t="str">
        <f>VLOOKUP(J51,review1,9,FALSE)</f>
        <v>NVH G.04</v>
      </c>
      <c r="S51" s="47">
        <f>J51+4000</f>
        <v>7544</v>
      </c>
      <c r="T51" s="6">
        <v>7544</v>
      </c>
      <c r="U51" s="6">
        <f>COUNTIF(review2_code,T51)</f>
        <v>3</v>
      </c>
      <c r="V51" s="4" t="str">
        <f>VLOOKUP(T51,review2,10,FALSE)</f>
        <v>HuongNTC2</v>
      </c>
      <c r="W51" s="4" t="str">
        <f>VLOOKUP(T51,review2,11,FALSE)</f>
        <v>LamNN15</v>
      </c>
      <c r="X51" s="4" t="b">
        <f>OR(EXACT(V51,H51),EXACT(V51,I51),EXACT(W51,H51),EXACT(W51,I51))</f>
        <v>0</v>
      </c>
      <c r="Y51" s="53">
        <f>VLOOKUP(T51,review2,7,FALSE)</f>
        <v>46086</v>
      </c>
      <c r="Z51" s="53" t="str">
        <f>VLOOKUP(T51,review2,8,FALSE)</f>
        <v>Thu</v>
      </c>
      <c r="AA51" s="47">
        <f>INT(MOD(T51/10,10))</f>
        <v>4</v>
      </c>
      <c r="AB51" s="47" t="e">
        <f>VLOOKUP(J51,review2,9,FALSE)</f>
        <v>#N/A</v>
      </c>
      <c r="AC51" s="47"/>
      <c r="AD51" s="6">
        <v>14322</v>
      </c>
      <c r="AE51" s="6">
        <f>COUNTIF(review3_code,AD51)</f>
        <v>3</v>
      </c>
      <c r="AF51" s="54" t="str">
        <f>VLOOKUP(AD51,review3,10,FALSE)</f>
        <v>DucDNM2</v>
      </c>
      <c r="AG51" s="54" t="str">
        <f>VLOOKUP(AD51,review3,11,FALSE)</f>
        <v>VuLNS</v>
      </c>
      <c r="AH51" s="47" t="b">
        <f>OR(EXACT(AF51,H51),EXACT(AF51,I51),EXACT(AG51,H51),EXACT(AG51,I51))</f>
        <v>0</v>
      </c>
      <c r="AI51" s="47" t="b">
        <f>OR(EXACT(AF51,V51),EXACT(AF51,W51),EXACT(AG51,V51),EXACT(AG51,W51))</f>
        <v>0</v>
      </c>
      <c r="AJ51" s="53">
        <f>VLOOKUP(AD51,review3,7,FALSE)</f>
        <v>46133</v>
      </c>
      <c r="AK51" s="53" t="str">
        <f>VLOOKUP(AD51,review3,8,FALSE)</f>
        <v>Tue</v>
      </c>
      <c r="AL51" s="47">
        <f>VLOOKUP(AD51,review3,4,FALSE)</f>
        <v>2</v>
      </c>
      <c r="AM51" s="47" t="str">
        <f>VLOOKUP(AD51,review3,9,FALSE)</f>
        <v>NVH.301</v>
      </c>
      <c r="AN51" s="55"/>
      <c r="AO51" t="s">
        <v>688</v>
      </c>
      <c r="AP51" s="122">
        <v>203</v>
      </c>
      <c r="AQ51" s="47" t="str">
        <f>VLOOKUP(AP51,defense1_list,7,FALSE)</f>
        <v>DucDNM2_HungLD5_NhanDT35_TriPT9_LamNN15</v>
      </c>
      <c r="AR51" s="57">
        <f>COUNTIF(defense1_forgroup_code,AP51)</f>
        <v>7</v>
      </c>
      <c r="AS51" s="4" t="b">
        <f>ISNUMBER(SEARCH(H51,AQ51))</f>
        <v>0</v>
      </c>
      <c r="AT51" s="4" t="b">
        <f>AND(NOT(ISBLANK(I51)),(ISNUMBER(SEARCH(I51,AQ51))))</f>
        <v>0</v>
      </c>
      <c r="AU51" s="4" t="b">
        <f>(IFERROR(SEARCH(AF51,AQ51),0)+IFERROR(SEARCH(AG51,AQ51),0))&gt;0</f>
        <v>1</v>
      </c>
      <c r="AV51" s="47"/>
      <c r="AW51" s="47" t="s">
        <v>689</v>
      </c>
      <c r="AX51" s="47"/>
      <c r="AY51" s="47"/>
      <c r="AZ51" s="129">
        <v>303</v>
      </c>
      <c r="BA51" s="47" t="str">
        <f>VLOOKUP(AZ51,defense2_list,7,FALSE)</f>
        <v>DucDNM2_NgocTTM4_HoangNT20_TriPT9_LongT5</v>
      </c>
      <c r="BB51" s="57">
        <f>COUNTIF(defense2_forgroup_code,AZ51)</f>
        <v>2</v>
      </c>
      <c r="BC51" s="4" t="b">
        <f>ISNUMBER(SEARCH(H51,BA51))</f>
        <v>0</v>
      </c>
      <c r="BD51" s="4" t="b">
        <f>AND(NOT(ISBLANK(I51)),(ISNUMBER(SEARCH(I51,AZ51))))</f>
        <v>0</v>
      </c>
      <c r="BE51" s="4"/>
      <c r="BF51" s="47"/>
      <c r="BG51" s="47"/>
    </row>
    <row r="52" spans="1:59" ht="15" thickBot="1" x14ac:dyDescent="0.4">
      <c r="A52" s="47">
        <v>38</v>
      </c>
      <c r="B52" s="48"/>
      <c r="C52" s="49" t="s">
        <v>210</v>
      </c>
      <c r="D52" s="58" t="s">
        <v>211</v>
      </c>
      <c r="E52" s="14" t="s">
        <v>212</v>
      </c>
      <c r="F52" s="14" t="s">
        <v>213</v>
      </c>
      <c r="G52" s="49" t="s">
        <v>605</v>
      </c>
      <c r="H52" s="50" t="s">
        <v>19</v>
      </c>
      <c r="I52" s="51" t="s">
        <v>65</v>
      </c>
      <c r="J52" s="6">
        <v>3543</v>
      </c>
      <c r="K52" s="6">
        <f>COUNTIF(review1_code,J52)</f>
        <v>3</v>
      </c>
      <c r="L52" s="4" t="str">
        <f>VLOOKUP(J52,review1,10,FALSE)</f>
        <v>TriPT9</v>
      </c>
      <c r="M52" s="4" t="str">
        <f>VLOOKUP(J52,review1,11,FALSE)</f>
        <v>LongT5</v>
      </c>
      <c r="N52" s="47" t="b">
        <f>OR(EXACT(L52,H52),EXACT(L52,I52),EXACT(M52,H52),EXACT(M52,I52))</f>
        <v>0</v>
      </c>
      <c r="O52" s="52">
        <f>VLOOKUP(J52,review1,7,FALSE)</f>
        <v>46045</v>
      </c>
      <c r="P52" s="52" t="str">
        <f>VLOOKUP(J52,review1,8,FALSE)</f>
        <v>Fri</v>
      </c>
      <c r="Q52" s="47">
        <f>INT(MOD(J52/10,10))</f>
        <v>4</v>
      </c>
      <c r="R52" s="47" t="str">
        <f>VLOOKUP(J52,review1,9,FALSE)</f>
        <v>NVH 420</v>
      </c>
      <c r="S52" s="47">
        <f>J52+4000</f>
        <v>7543</v>
      </c>
      <c r="T52" s="6">
        <v>7543</v>
      </c>
      <c r="U52" s="6">
        <f>COUNTIF(review2_code,T52)</f>
        <v>3</v>
      </c>
      <c r="V52" s="4" t="str">
        <f>VLOOKUP(T52,review2,10,FALSE)</f>
        <v>TriPT9</v>
      </c>
      <c r="W52" s="4" t="str">
        <f>VLOOKUP(T52,review2,11,FALSE)</f>
        <v>LongT5</v>
      </c>
      <c r="X52" s="4" t="b">
        <f>OR(EXACT(V52,H52),EXACT(V52,I52),EXACT(W52,H52),EXACT(W52,I52))</f>
        <v>0</v>
      </c>
      <c r="Y52" s="53">
        <f>VLOOKUP(T52,review2,7,FALSE)</f>
        <v>46086</v>
      </c>
      <c r="Z52" s="53" t="str">
        <f>VLOOKUP(T52,review2,8,FALSE)</f>
        <v>Thu</v>
      </c>
      <c r="AA52" s="47">
        <f>INT(MOD(T52/10,10))</f>
        <v>4</v>
      </c>
      <c r="AB52" s="47" t="e">
        <f>VLOOKUP(J52,review2,9,FALSE)</f>
        <v>#N/A</v>
      </c>
      <c r="AC52" s="47"/>
      <c r="AD52" s="6">
        <v>14313</v>
      </c>
      <c r="AE52" s="6">
        <f>COUNTIF(review3_code,AD52)</f>
        <v>3</v>
      </c>
      <c r="AF52" s="54" t="str">
        <f>VLOOKUP(AD52,review3,10,FALSE)</f>
        <v>DucDNM2</v>
      </c>
      <c r="AG52" s="54" t="str">
        <f>VLOOKUP(AD52,review3,11,FALSE)</f>
        <v>VuLNS</v>
      </c>
      <c r="AH52" s="47" t="b">
        <f>OR(EXACT(AF52,H52),EXACT(AF52,I52),EXACT(AG52,H52),EXACT(AG52,I52))</f>
        <v>0</v>
      </c>
      <c r="AI52" s="47" t="b">
        <f>OR(EXACT(AF52,V52),EXACT(AF52,W52),EXACT(AG52,V52),EXACT(AG52,W52))</f>
        <v>0</v>
      </c>
      <c r="AJ52" s="53">
        <f>VLOOKUP(AD52,review3,7,FALSE)</f>
        <v>46133</v>
      </c>
      <c r="AK52" s="53" t="str">
        <f>VLOOKUP(AD52,review3,8,FALSE)</f>
        <v>Tue</v>
      </c>
      <c r="AL52" s="47">
        <f>VLOOKUP(AD52,review3,4,FALSE)</f>
        <v>1</v>
      </c>
      <c r="AM52" s="47" t="str">
        <f>VLOOKUP(AD52,review3,9,FALSE)</f>
        <v>NVH.301</v>
      </c>
      <c r="AN52" s="55"/>
      <c r="AO52" t="s">
        <v>688</v>
      </c>
      <c r="AP52" s="56">
        <v>303</v>
      </c>
      <c r="AQ52" s="47" t="str">
        <f>VLOOKUP(AP52,defense1_list,7,FALSE)</f>
        <v>DucDNM2_NgocTT4_HoangNT20_TriPT9_LongT5</v>
      </c>
      <c r="AR52" s="57">
        <f>COUNTIF(defense1_forgroup_code,AP52)</f>
        <v>7</v>
      </c>
      <c r="AS52" s="4" t="b">
        <f>ISNUMBER(SEARCH(H52,AQ52))</f>
        <v>0</v>
      </c>
      <c r="AT52" s="4" t="b">
        <f>AND(NOT(ISBLANK(I52)),(ISNUMBER(SEARCH(I52,AQ52))))</f>
        <v>0</v>
      </c>
      <c r="AU52" s="4" t="b">
        <f>(IFERROR(SEARCH(AF52,AQ52),0)+IFERROR(SEARCH(AG52,AQ52),0))&gt;0</f>
        <v>1</v>
      </c>
      <c r="AV52" s="47"/>
      <c r="AW52" s="47" t="s">
        <v>689</v>
      </c>
      <c r="AX52" s="47"/>
      <c r="AY52" s="47"/>
      <c r="AZ52" s="127">
        <v>303</v>
      </c>
      <c r="BA52" s="47" t="str">
        <f>VLOOKUP(AZ52,defense2_list,7,FALSE)</f>
        <v>DucDNM2_NgocTTM4_HoangNT20_TriPT9_LongT5</v>
      </c>
      <c r="BB52" s="57">
        <f>COUNTIF(defense2_forgroup_code,AZ52)</f>
        <v>2</v>
      </c>
      <c r="BC52" s="4" t="b">
        <f>ISNUMBER(SEARCH(H52,BA52))</f>
        <v>0</v>
      </c>
      <c r="BD52" s="4" t="b">
        <f>AND(NOT(ISBLANK(I52)),(ISNUMBER(SEARCH(I52,AZ52))))</f>
        <v>0</v>
      </c>
      <c r="BE52" s="4"/>
      <c r="BF52" s="47"/>
      <c r="BG52" s="47"/>
    </row>
    <row r="53" spans="1:59" ht="29.5" thickBot="1" x14ac:dyDescent="0.4">
      <c r="A53" s="47">
        <v>92</v>
      </c>
      <c r="B53" s="48"/>
      <c r="C53" s="49" t="s">
        <v>166</v>
      </c>
      <c r="D53" s="58" t="s">
        <v>167</v>
      </c>
      <c r="E53" s="14" t="s">
        <v>168</v>
      </c>
      <c r="F53" s="14" t="s">
        <v>169</v>
      </c>
      <c r="G53" s="49" t="s">
        <v>603</v>
      </c>
      <c r="H53" s="50" t="s">
        <v>76</v>
      </c>
      <c r="I53" s="51" t="s">
        <v>77</v>
      </c>
      <c r="J53" s="6">
        <v>3411</v>
      </c>
      <c r="K53" s="6">
        <f>COUNTIF(review1_code,J53)</f>
        <v>3</v>
      </c>
      <c r="L53" s="4" t="str">
        <f>VLOOKUP(J53,review1,10,FALSE)</f>
        <v>TriPT9</v>
      </c>
      <c r="M53" s="4" t="str">
        <f>VLOOKUP(J53,review1,11,FALSE)</f>
        <v>VuLNS</v>
      </c>
      <c r="N53" s="47" t="b">
        <f>OR(EXACT(L53,H53),EXACT(L53,I53),EXACT(M53,H53),EXACT(M53,I53))</f>
        <v>0</v>
      </c>
      <c r="O53" s="52">
        <f>VLOOKUP(J53,review1,7,FALSE)</f>
        <v>46044</v>
      </c>
      <c r="P53" s="52" t="str">
        <f>VLOOKUP(J53,review1,8,FALSE)</f>
        <v>Thu</v>
      </c>
      <c r="Q53" s="47">
        <f>INT(MOD(J53/10,10))</f>
        <v>1</v>
      </c>
      <c r="R53" s="47" t="str">
        <f>VLOOKUP(J53,review1,9,FALSE)</f>
        <v>NVH G.02</v>
      </c>
      <c r="S53" s="47">
        <f>J53+4000</f>
        <v>7411</v>
      </c>
      <c r="T53" s="6">
        <v>7411</v>
      </c>
      <c r="U53" s="6">
        <f>COUNTIF(review2_code,T53)</f>
        <v>3</v>
      </c>
      <c r="V53" s="4" t="str">
        <f>VLOOKUP(T53,review2,10,FALSE)</f>
        <v>TriPT9</v>
      </c>
      <c r="W53" s="4" t="str">
        <f>VLOOKUP(T53,review2,11,FALSE)</f>
        <v>VuLNS</v>
      </c>
      <c r="X53" s="4" t="b">
        <f>OR(EXACT(V53,H53),EXACT(V53,I53),EXACT(W53,H53),EXACT(W53,I53))</f>
        <v>0</v>
      </c>
      <c r="Y53" s="53">
        <f>VLOOKUP(T53,review2,7,FALSE)</f>
        <v>46085</v>
      </c>
      <c r="Z53" s="53" t="str">
        <f>VLOOKUP(T53,review2,8,FALSE)</f>
        <v>Wed</v>
      </c>
      <c r="AA53" s="47">
        <f>INT(MOD(T53/10,10))</f>
        <v>1</v>
      </c>
      <c r="AB53" s="47" t="e">
        <f>VLOOKUP(J53,review2,9,FALSE)</f>
        <v>#N/A</v>
      </c>
      <c r="AC53" s="47"/>
      <c r="AD53" s="6">
        <v>14243</v>
      </c>
      <c r="AE53" s="6">
        <f>COUNTIF(review3_code,AD53)</f>
        <v>3</v>
      </c>
      <c r="AF53" s="54" t="str">
        <f>VLOOKUP(AD53,review3,10,FALSE)</f>
        <v>TamPM</v>
      </c>
      <c r="AG53" s="54" t="str">
        <f>VLOOKUP(AD53,review3,11,FALSE)</f>
        <v>NhanDT35</v>
      </c>
      <c r="AH53" s="47" t="b">
        <f>OR(EXACT(AF53,H53),EXACT(AF53,I53),EXACT(AG53,H53),EXACT(AG53,I53))</f>
        <v>0</v>
      </c>
      <c r="AI53" s="47" t="b">
        <f>OR(EXACT(AF53,V53),EXACT(AF53,W53),EXACT(AG53,V53),EXACT(AG53,W53))</f>
        <v>0</v>
      </c>
      <c r="AJ53" s="53">
        <f>VLOOKUP(AD53,review3,7,FALSE)</f>
        <v>46132</v>
      </c>
      <c r="AK53" s="53" t="str">
        <f>VLOOKUP(AD53,review3,8,FALSE)</f>
        <v>Mon</v>
      </c>
      <c r="AL53" s="47">
        <f>VLOOKUP(AD53,review3,4,FALSE)</f>
        <v>4</v>
      </c>
      <c r="AM53" s="47" t="str">
        <f>VLOOKUP(AD53,review3,9,FALSE)</f>
        <v>NVH.306</v>
      </c>
      <c r="AN53" s="55"/>
      <c r="AO53" t="s">
        <v>688</v>
      </c>
      <c r="AP53" s="56">
        <v>304</v>
      </c>
      <c r="AQ53" s="47" t="str">
        <f>VLOOKUP(AP53,defense1_list,7,FALSE)</f>
        <v>PhuongLHK_PhucNT40_SangNM18_VuLNS_NhanDT35</v>
      </c>
      <c r="AR53" s="57">
        <f>COUNTIF(defense1_forgroup_code,AP53)</f>
        <v>7</v>
      </c>
      <c r="AS53" s="4" t="b">
        <f>ISNUMBER(SEARCH(H53,AQ53))</f>
        <v>0</v>
      </c>
      <c r="AT53" s="4" t="b">
        <f>AND(NOT(ISBLANK(I53)),(ISNUMBER(SEARCH(I53,AQ53))))</f>
        <v>0</v>
      </c>
      <c r="AU53" s="4" t="b">
        <f>(IFERROR(SEARCH(AF53,AQ53),0)+IFERROR(SEARCH(AG53,AQ53),0))&gt;0</f>
        <v>1</v>
      </c>
      <c r="AV53" s="47"/>
      <c r="AW53" s="47" t="s">
        <v>689</v>
      </c>
      <c r="AX53" s="47"/>
      <c r="AY53" s="47"/>
      <c r="AZ53" s="127">
        <v>304</v>
      </c>
      <c r="BA53" s="47" t="str">
        <f>VLOOKUP(AZ53,defense2_list,7,FALSE)</f>
        <v>PhuongLHK_PhucNT40_SangNM18_VuLNS_NhanDT35</v>
      </c>
      <c r="BB53" s="57">
        <f>COUNTIF(defense2_forgroup_code,AZ53)</f>
        <v>2</v>
      </c>
      <c r="BC53" s="4" t="b">
        <f>ISNUMBER(SEARCH(H53,BA53))</f>
        <v>0</v>
      </c>
      <c r="BD53" s="4" t="b">
        <f>AND(NOT(ISBLANK(I53)),(ISNUMBER(SEARCH(I53,AZ53))))</f>
        <v>0</v>
      </c>
      <c r="BE53" s="4"/>
      <c r="BF53" s="47"/>
      <c r="BG53" s="47"/>
    </row>
    <row r="54" spans="1:59" ht="15" thickBot="1" x14ac:dyDescent="0.4">
      <c r="A54" s="47">
        <v>100</v>
      </c>
      <c r="B54" s="48"/>
      <c r="C54" s="49" t="s">
        <v>218</v>
      </c>
      <c r="D54" s="58" t="s">
        <v>219</v>
      </c>
      <c r="E54" s="14" t="s">
        <v>220</v>
      </c>
      <c r="F54" s="14" t="s">
        <v>221</v>
      </c>
      <c r="G54" s="49" t="s">
        <v>72</v>
      </c>
      <c r="H54" s="50" t="s">
        <v>67</v>
      </c>
      <c r="I54" s="51"/>
      <c r="J54" s="6">
        <v>3551</v>
      </c>
      <c r="K54" s="6">
        <f>COUNTIF(review1_code,J54)</f>
        <v>3</v>
      </c>
      <c r="L54" s="4" t="str">
        <f>VLOOKUP(J54,review1,10,FALSE)</f>
        <v>LamNN15</v>
      </c>
      <c r="M54" s="4" t="str">
        <f>VLOOKUP(J54,review1,11,FALSE)</f>
        <v>SangNM18</v>
      </c>
      <c r="N54" s="47" t="b">
        <f>OR(EXACT(L54,H54),EXACT(L54,I54),EXACT(M54,H54),EXACT(M54,I54))</f>
        <v>0</v>
      </c>
      <c r="O54" s="52">
        <f>VLOOKUP(J54,review1,7,FALSE)</f>
        <v>46045</v>
      </c>
      <c r="P54" s="52" t="str">
        <f>VLOOKUP(J54,review1,8,FALSE)</f>
        <v>Fri</v>
      </c>
      <c r="Q54" s="47">
        <f>INT(MOD(J54/10,10))</f>
        <v>5</v>
      </c>
      <c r="R54" s="47" t="str">
        <f>VLOOKUP(J54,review1,9,FALSE)</f>
        <v>NVH G.04</v>
      </c>
      <c r="S54" s="47">
        <f>J54+4000</f>
        <v>7551</v>
      </c>
      <c r="T54" s="6">
        <v>7551</v>
      </c>
      <c r="U54" s="6">
        <f>COUNTIF(review2_code,T54)</f>
        <v>3</v>
      </c>
      <c r="V54" s="4" t="str">
        <f>VLOOKUP(T54,review2,10,FALSE)</f>
        <v>LamNN15</v>
      </c>
      <c r="W54" s="4" t="str">
        <f>VLOOKUP(T54,review2,11,FALSE)</f>
        <v>SangNM18</v>
      </c>
      <c r="X54" s="4" t="b">
        <f>OR(EXACT(V54,H54),EXACT(V54,I54),EXACT(W54,H54),EXACT(W54,I54))</f>
        <v>0</v>
      </c>
      <c r="Y54" s="53">
        <f>VLOOKUP(T54,review2,7,FALSE)</f>
        <v>46086</v>
      </c>
      <c r="Z54" s="53" t="str">
        <f>VLOOKUP(T54,review2,8,FALSE)</f>
        <v>Thu</v>
      </c>
      <c r="AA54" s="47">
        <f>INT(MOD(T54/10,10))</f>
        <v>5</v>
      </c>
      <c r="AB54" s="47" t="e">
        <f>VLOOKUP(J54,review2,9,FALSE)</f>
        <v>#N/A</v>
      </c>
      <c r="AC54" s="47"/>
      <c r="AD54" s="6">
        <v>14422</v>
      </c>
      <c r="AE54" s="6">
        <f>COUNTIF(review3_code,AD54)</f>
        <v>3</v>
      </c>
      <c r="AF54" s="54" t="str">
        <f>VLOOKUP(AD54,review3,10,FALSE)</f>
        <v>PhuongLHK</v>
      </c>
      <c r="AG54" s="54" t="str">
        <f>VLOOKUP(AD54,review3,11,FALSE)</f>
        <v>VuLNS</v>
      </c>
      <c r="AH54" s="47" t="b">
        <f>OR(EXACT(AF54,H54),EXACT(AF54,I54),EXACT(AG54,H54),EXACT(AG54,I54))</f>
        <v>0</v>
      </c>
      <c r="AI54" s="47" t="b">
        <f>OR(EXACT(AF54,V54),EXACT(AF54,W54),EXACT(AG54,V54),EXACT(AG54,W54))</f>
        <v>0</v>
      </c>
      <c r="AJ54" s="53">
        <f>VLOOKUP(AD54,review3,7,FALSE)</f>
        <v>46134</v>
      </c>
      <c r="AK54" s="53" t="str">
        <f>VLOOKUP(AD54,review3,8,FALSE)</f>
        <v>Wed</v>
      </c>
      <c r="AL54" s="47">
        <f>VLOOKUP(AD54,review3,4,FALSE)</f>
        <v>2</v>
      </c>
      <c r="AM54" s="47" t="str">
        <f>VLOOKUP(AD54,review3,9,FALSE)</f>
        <v>NVH.301</v>
      </c>
      <c r="AN54" s="55"/>
      <c r="AO54" t="s">
        <v>688</v>
      </c>
      <c r="AP54" s="56">
        <v>304</v>
      </c>
      <c r="AQ54" s="47" t="str">
        <f>VLOOKUP(AP54,defense1_list,7,FALSE)</f>
        <v>PhuongLHK_PhucNT40_SangNM18_VuLNS_NhanDT35</v>
      </c>
      <c r="AR54" s="57">
        <f>COUNTIF(defense1_forgroup_code,AP54)</f>
        <v>7</v>
      </c>
      <c r="AS54" s="4" t="b">
        <f>ISNUMBER(SEARCH(H54,AQ54))</f>
        <v>0</v>
      </c>
      <c r="AT54" s="4" t="b">
        <f>AND(NOT(ISBLANK(I54)),(ISNUMBER(SEARCH(I54,AQ54))))</f>
        <v>0</v>
      </c>
      <c r="AU54" s="4" t="b">
        <f>(IFERROR(SEARCH(AF54,AQ54),0)+IFERROR(SEARCH(AG54,AQ54),0))&gt;0</f>
        <v>1</v>
      </c>
      <c r="AV54" s="47"/>
      <c r="AW54" s="47" t="s">
        <v>689</v>
      </c>
      <c r="AX54" s="47"/>
      <c r="AY54" s="47"/>
      <c r="AZ54" s="127">
        <v>304</v>
      </c>
      <c r="BA54" s="47" t="str">
        <f>VLOOKUP(AZ54,defense2_list,7,FALSE)</f>
        <v>PhuongLHK_PhucNT40_SangNM18_VuLNS_NhanDT35</v>
      </c>
      <c r="BB54" s="57">
        <f>COUNTIF(defense2_forgroup_code,AZ54)</f>
        <v>2</v>
      </c>
      <c r="BC54" s="4" t="b">
        <f>ISNUMBER(SEARCH(H54,BA54))</f>
        <v>0</v>
      </c>
      <c r="BD54" s="4" t="b">
        <f>AND(NOT(ISBLANK(I54)),(ISNUMBER(SEARCH(I54,AZ54))))</f>
        <v>0</v>
      </c>
      <c r="BE54" s="4"/>
      <c r="BF54" s="47"/>
      <c r="BG54" s="47"/>
    </row>
    <row r="55" spans="1:59" ht="29.5" thickBot="1" x14ac:dyDescent="0.4">
      <c r="A55" s="47">
        <v>31</v>
      </c>
      <c r="B55" s="48"/>
      <c r="C55" s="49" t="s">
        <v>100</v>
      </c>
      <c r="D55" s="58" t="s">
        <v>101</v>
      </c>
      <c r="E55" s="14" t="s">
        <v>599</v>
      </c>
      <c r="F55" s="14" t="s">
        <v>102</v>
      </c>
      <c r="G55" s="49" t="s">
        <v>585</v>
      </c>
      <c r="H55" s="50" t="s">
        <v>644</v>
      </c>
      <c r="I55" s="51" t="s">
        <v>18</v>
      </c>
      <c r="J55" s="6">
        <v>4121</v>
      </c>
      <c r="K55" s="6">
        <f>COUNTIF(review1_code,J55)</f>
        <v>3</v>
      </c>
      <c r="L55" s="4" t="str">
        <f>VLOOKUP(J55,review1,10,FALSE)</f>
        <v>TaiNT51</v>
      </c>
      <c r="M55" s="4" t="str">
        <f>VLOOKUP(J55,review1,11,FALSE)</f>
        <v>SangNM18</v>
      </c>
      <c r="N55" s="47" t="b">
        <f>OR(EXACT(L55,H55),EXACT(L55,I55),EXACT(M55,H55),EXACT(M55,I55))</f>
        <v>0</v>
      </c>
      <c r="O55" s="52">
        <f>VLOOKUP(J55,review1,7,FALSE)</f>
        <v>46048</v>
      </c>
      <c r="P55" s="52" t="str">
        <f>VLOOKUP(J55,review1,8,FALSE)</f>
        <v>Mon</v>
      </c>
      <c r="Q55" s="47">
        <f>INT(MOD(J55/10,10))</f>
        <v>2</v>
      </c>
      <c r="R55" s="47" t="str">
        <f>VLOOKUP(J55,review1,9,FALSE)</f>
        <v>NVH G.01</v>
      </c>
      <c r="S55" s="47">
        <f>J55+4000</f>
        <v>8121</v>
      </c>
      <c r="T55" s="6">
        <v>8121</v>
      </c>
      <c r="U55" s="6">
        <f>COUNTIF(review2_code,T55)</f>
        <v>3</v>
      </c>
      <c r="V55" s="4" t="str">
        <f>VLOOKUP(T55,review2,10,FALSE)</f>
        <v>TaiNT51</v>
      </c>
      <c r="W55" s="4" t="str">
        <f>VLOOKUP(T55,review2,11,FALSE)</f>
        <v>SangNM18</v>
      </c>
      <c r="X55" s="4" t="b">
        <f>OR(EXACT(V55,H55),EXACT(V55,I55),EXACT(W55,H55),EXACT(W55,I55))</f>
        <v>0</v>
      </c>
      <c r="Y55" s="53">
        <f>VLOOKUP(T55,review2,7,FALSE)</f>
        <v>46089</v>
      </c>
      <c r="Z55" s="53" t="str">
        <f>VLOOKUP(T55,review2,8,FALSE)</f>
        <v>Sun</v>
      </c>
      <c r="AA55" s="47">
        <f>INT(MOD(T55/10,10))</f>
        <v>2</v>
      </c>
      <c r="AB55" s="47" t="e">
        <f>VLOOKUP(J55,review2,9,FALSE)</f>
        <v>#N/A</v>
      </c>
      <c r="AC55" s="47"/>
      <c r="AD55" s="6">
        <v>14521</v>
      </c>
      <c r="AE55" s="6">
        <f>COUNTIF(review3_code,AD55)</f>
        <v>3</v>
      </c>
      <c r="AF55" s="54" t="str">
        <f>VLOOKUP(AD55,review3,10,FALSE)</f>
        <v>HuongNTC2</v>
      </c>
      <c r="AG55" s="54" t="str">
        <f>VLOOKUP(AD55,review3,11,FALSE)</f>
        <v>DucDNM2</v>
      </c>
      <c r="AH55" s="47" t="b">
        <f>OR(EXACT(AF55,H55),EXACT(AF55,I55),EXACT(AG55,H55),EXACT(AG55,I55))</f>
        <v>0</v>
      </c>
      <c r="AI55" s="47" t="b">
        <f>OR(EXACT(AF55,V55),EXACT(AF55,W55),EXACT(AG55,V55),EXACT(AG55,W55))</f>
        <v>0</v>
      </c>
      <c r="AJ55" s="53">
        <f>VLOOKUP(AD55,review3,7,FALSE)</f>
        <v>46135</v>
      </c>
      <c r="AK55" s="53" t="str">
        <f>VLOOKUP(AD55,review3,8,FALSE)</f>
        <v>Thu</v>
      </c>
      <c r="AL55" s="47">
        <f>VLOOKUP(AD55,review3,4,FALSE)</f>
        <v>2</v>
      </c>
      <c r="AM55" s="47" t="str">
        <f>VLOOKUP(AD55,review3,9,FALSE)</f>
        <v>NVH.414</v>
      </c>
      <c r="AN55" s="55"/>
      <c r="AO55" t="s">
        <v>688</v>
      </c>
      <c r="AP55" s="56">
        <v>401</v>
      </c>
      <c r="AQ55" s="47" t="str">
        <f>VLOOKUP(AP55,defense1_list,7,FALSE)</f>
        <v>HuongNTC2_NguyenTT15_SangNM18_VanTTN2_ThinhDP2</v>
      </c>
      <c r="AR55" s="57">
        <f>COUNTIF(defense1_forgroup_code,AP55)</f>
        <v>7</v>
      </c>
      <c r="AS55" s="4" t="b">
        <f>ISNUMBER(SEARCH(H55,AQ55))</f>
        <v>0</v>
      </c>
      <c r="AT55" s="4" t="b">
        <f>AND(NOT(ISBLANK(I55)),(ISNUMBER(SEARCH(I55,AQ55))))</f>
        <v>0</v>
      </c>
      <c r="AU55" s="4" t="b">
        <f>(IFERROR(SEARCH(AF55,AQ55),0)+IFERROR(SEARCH(AG55,AQ55),0))&gt;0</f>
        <v>1</v>
      </c>
      <c r="AV55" s="47"/>
      <c r="AW55" s="47" t="s">
        <v>689</v>
      </c>
      <c r="AX55" s="47"/>
      <c r="AY55" s="47"/>
      <c r="AZ55" s="127">
        <v>401</v>
      </c>
      <c r="BA55" s="47" t="str">
        <f>VLOOKUP(AZ55,defense2_list,7,FALSE)</f>
        <v>HuongNTC2_VanTTN2_LamNN15_NguyenTT15_ThinhDP2</v>
      </c>
      <c r="BB55" s="57">
        <f>COUNTIF(defense2_forgroup_code,AZ55)</f>
        <v>2</v>
      </c>
      <c r="BC55" s="4" t="b">
        <f>ISNUMBER(SEARCH(H55,BA55))</f>
        <v>0</v>
      </c>
      <c r="BD55" s="4" t="b">
        <f>AND(NOT(ISBLANK(I55)),(ISNUMBER(SEARCH(I55,AZ55))))</f>
        <v>0</v>
      </c>
      <c r="BE55" s="4"/>
      <c r="BF55" s="47"/>
      <c r="BG55" s="47"/>
    </row>
    <row r="56" spans="1:59" ht="15" thickBot="1" x14ac:dyDescent="0.4">
      <c r="A56" s="47">
        <v>39</v>
      </c>
      <c r="B56" s="48"/>
      <c r="C56" s="49" t="s">
        <v>452</v>
      </c>
      <c r="D56" s="58" t="s">
        <v>453</v>
      </c>
      <c r="E56" s="14" t="s">
        <v>454</v>
      </c>
      <c r="F56" s="14" t="s">
        <v>455</v>
      </c>
      <c r="G56" s="49" t="s">
        <v>627</v>
      </c>
      <c r="H56" s="50" t="s">
        <v>649</v>
      </c>
      <c r="I56" s="51"/>
      <c r="J56" s="6">
        <v>4232</v>
      </c>
      <c r="K56" s="6">
        <f>COUNTIF(review1_code,J56)</f>
        <v>3</v>
      </c>
      <c r="L56" s="4" t="str">
        <f>VLOOKUP(J56,review1,10,FALSE)</f>
        <v>TaiNT51</v>
      </c>
      <c r="M56" s="4" t="str">
        <f>VLOOKUP(J56,review1,11,FALSE)</f>
        <v>LongT5</v>
      </c>
      <c r="N56" s="47" t="b">
        <f>OR(EXACT(L56,H56),EXACT(L56,I56),EXACT(M56,H56),EXACT(M56,I56))</f>
        <v>0</v>
      </c>
      <c r="O56" s="52">
        <f>VLOOKUP(J56,review1,7,FALSE)</f>
        <v>46049</v>
      </c>
      <c r="P56" s="52" t="str">
        <f>VLOOKUP(J56,review1,8,FALSE)</f>
        <v>Tue</v>
      </c>
      <c r="Q56" s="47">
        <f>INT(MOD(J56/10,10))</f>
        <v>3</v>
      </c>
      <c r="R56" s="47" t="str">
        <f>VLOOKUP(J56,review1,9,FALSE)</f>
        <v>NVH G.02</v>
      </c>
      <c r="S56" s="47">
        <f>J56+4000</f>
        <v>8232</v>
      </c>
      <c r="T56" s="6">
        <v>8232</v>
      </c>
      <c r="U56" s="6">
        <f>COUNTIF(review2_code,T56)</f>
        <v>3</v>
      </c>
      <c r="V56" s="4" t="str">
        <f>VLOOKUP(T56,review2,10,FALSE)</f>
        <v>TaiNT51</v>
      </c>
      <c r="W56" s="4" t="str">
        <f>VLOOKUP(T56,review2,11,FALSE)</f>
        <v>LongT5</v>
      </c>
      <c r="X56" s="4" t="b">
        <f>OR(EXACT(V56,H56),EXACT(V56,I56),EXACT(W56,H56),EXACT(W56,I56))</f>
        <v>0</v>
      </c>
      <c r="Y56" s="53">
        <f>VLOOKUP(T56,review2,7,FALSE)</f>
        <v>46090</v>
      </c>
      <c r="Z56" s="53" t="str">
        <f>VLOOKUP(T56,review2,8,FALSE)</f>
        <v>Mon</v>
      </c>
      <c r="AA56" s="47">
        <f>INT(MOD(T56/10,10))</f>
        <v>3</v>
      </c>
      <c r="AB56" s="47" t="e">
        <f>VLOOKUP(J56,review2,9,FALSE)</f>
        <v>#N/A</v>
      </c>
      <c r="AC56" s="47"/>
      <c r="AD56" s="6">
        <v>14611</v>
      </c>
      <c r="AE56" s="6">
        <f>COUNTIF(review3_code,AD56)</f>
        <v>3</v>
      </c>
      <c r="AF56" s="54" t="str">
        <f>VLOOKUP(AD56,review3,10,FALSE)</f>
        <v>HuongNTC2</v>
      </c>
      <c r="AG56" s="54" t="str">
        <f>VLOOKUP(AD56,review3,11,FALSE)</f>
        <v>VanTTN2</v>
      </c>
      <c r="AH56" s="47" t="b">
        <f>OR(EXACT(AF56,H56),EXACT(AF56,I56),EXACT(AG56,H56),EXACT(AG56,I56))</f>
        <v>0</v>
      </c>
      <c r="AI56" s="47" t="b">
        <f>OR(EXACT(AF56,V56),EXACT(AF56,W56),EXACT(AG56,V56),EXACT(AG56,W56))</f>
        <v>0</v>
      </c>
      <c r="AJ56" s="53">
        <f>VLOOKUP(AD56,review3,7,FALSE)</f>
        <v>46136</v>
      </c>
      <c r="AK56" s="53" t="str">
        <f>VLOOKUP(AD56,review3,8,FALSE)</f>
        <v>Fri</v>
      </c>
      <c r="AL56" s="47">
        <f>VLOOKUP(AD56,review3,4,FALSE)</f>
        <v>1</v>
      </c>
      <c r="AM56" s="47" t="str">
        <f>VLOOKUP(AD56,review3,9,FALSE)</f>
        <v>NVH.414</v>
      </c>
      <c r="AN56" s="55"/>
      <c r="AO56" t="s">
        <v>688</v>
      </c>
      <c r="AP56" s="122">
        <v>401</v>
      </c>
      <c r="AQ56" s="47" t="str">
        <f>VLOOKUP(AP56,defense1_list,7,FALSE)</f>
        <v>HuongNTC2_NguyenTT15_SangNM18_VanTTN2_ThinhDP2</v>
      </c>
      <c r="AR56" s="57">
        <f>COUNTIF(defense1_forgroup_code,AP56)</f>
        <v>7</v>
      </c>
      <c r="AS56" s="4" t="b">
        <f>ISNUMBER(SEARCH(H56,AQ56))</f>
        <v>0</v>
      </c>
      <c r="AT56" s="4" t="b">
        <f>AND(NOT(ISBLANK(I56)),(ISNUMBER(SEARCH(I56,AQ56))))</f>
        <v>0</v>
      </c>
      <c r="AU56" s="4" t="b">
        <f>(IFERROR(SEARCH(AF56,AQ56),0)+IFERROR(SEARCH(AG56,AQ56),0))&gt;0</f>
        <v>1</v>
      </c>
      <c r="AV56" s="47"/>
      <c r="AW56" s="47" t="s">
        <v>689</v>
      </c>
      <c r="AX56" s="47"/>
      <c r="AY56" s="47"/>
      <c r="AZ56" s="129">
        <v>401</v>
      </c>
      <c r="BA56" s="47" t="str">
        <f>VLOOKUP(AZ56,defense2_list,7,FALSE)</f>
        <v>HuongNTC2_VanTTN2_LamNN15_NguyenTT15_ThinhDP2</v>
      </c>
      <c r="BB56" s="57">
        <f>COUNTIF(defense2_forgroup_code,AZ56)</f>
        <v>2</v>
      </c>
      <c r="BC56" s="4" t="b">
        <f>ISNUMBER(SEARCH(H56,BA56))</f>
        <v>0</v>
      </c>
      <c r="BD56" s="4" t="b">
        <f>AND(NOT(ISBLANK(I56)),(ISNUMBER(SEARCH(I56,AZ56))))</f>
        <v>0</v>
      </c>
      <c r="BE56" s="4"/>
      <c r="BF56" s="47"/>
      <c r="BG56" s="47"/>
    </row>
    <row r="57" spans="1:59" ht="29.5" thickBot="1" x14ac:dyDescent="0.4">
      <c r="A57" s="47">
        <v>23</v>
      </c>
      <c r="B57" s="48"/>
      <c r="C57" s="49" t="s">
        <v>349</v>
      </c>
      <c r="D57" s="58" t="s">
        <v>350</v>
      </c>
      <c r="E57" s="14" t="s">
        <v>351</v>
      </c>
      <c r="F57" s="14" t="s">
        <v>352</v>
      </c>
      <c r="G57" s="49" t="s">
        <v>605</v>
      </c>
      <c r="H57" s="50" t="s">
        <v>19</v>
      </c>
      <c r="I57" s="51" t="s">
        <v>65</v>
      </c>
      <c r="J57" s="6">
        <v>3441</v>
      </c>
      <c r="K57" s="6">
        <f>COUNTIF(review1_code,J57)</f>
        <v>3</v>
      </c>
      <c r="L57" s="74" t="str">
        <f>VLOOKUP(J57,review1,10,FALSE)</f>
        <v>DucDNM2</v>
      </c>
      <c r="M57" s="74" t="str">
        <f>VLOOKUP(J57,review1,11,FALSE)</f>
        <v>VanTTN2</v>
      </c>
      <c r="N57" s="47" t="b">
        <f>OR(EXACT(L57,H57),EXACT(L57,I57),EXACT(M57,H57),EXACT(M57,I57))</f>
        <v>0</v>
      </c>
      <c r="O57" s="52">
        <f>VLOOKUP(J57,review1,7,FALSE)</f>
        <v>46044</v>
      </c>
      <c r="P57" s="52" t="str">
        <f>VLOOKUP(J57,review1,8,FALSE)</f>
        <v>Thu</v>
      </c>
      <c r="Q57" s="47">
        <f>INT(MOD(J57/10,10))</f>
        <v>4</v>
      </c>
      <c r="R57" s="47" t="str">
        <f>VLOOKUP(J57,review1,9,FALSE)</f>
        <v>LB21 (Thư viên Campus)</v>
      </c>
      <c r="S57" s="47">
        <f>J57+4000</f>
        <v>7441</v>
      </c>
      <c r="T57" s="6">
        <v>7441</v>
      </c>
      <c r="U57" s="6">
        <f>COUNTIF(review2_code,T57)</f>
        <v>3</v>
      </c>
      <c r="V57" s="4" t="str">
        <f>VLOOKUP(T57,review2,10,FALSE)</f>
        <v>DucDNM2</v>
      </c>
      <c r="W57" s="4" t="str">
        <f>VLOOKUP(T57,review2,11,FALSE)</f>
        <v>VanTTN2</v>
      </c>
      <c r="X57" s="4" t="b">
        <f>OR(EXACT(V57,H57),EXACT(V57,I57),EXACT(W57,H57),EXACT(W57,I57))</f>
        <v>0</v>
      </c>
      <c r="Y57" s="53">
        <f>VLOOKUP(T57,review2,7,FALSE)</f>
        <v>46085</v>
      </c>
      <c r="Z57" s="53" t="str">
        <f>VLOOKUP(T57,review2,8,FALSE)</f>
        <v>Wed</v>
      </c>
      <c r="AA57" s="47">
        <f>INT(MOD(T57/10,10))</f>
        <v>4</v>
      </c>
      <c r="AB57" s="47" t="e">
        <f>VLOOKUP(J57,review2,9,FALSE)</f>
        <v>#N/A</v>
      </c>
      <c r="AC57" s="47"/>
      <c r="AD57" s="6">
        <v>14332</v>
      </c>
      <c r="AE57" s="6">
        <f>COUNTIF(review3_code,AD57)</f>
        <v>3</v>
      </c>
      <c r="AF57" s="54" t="str">
        <f>VLOOKUP(AD57,review3,10,FALSE)</f>
        <v>TriPT9</v>
      </c>
      <c r="AG57" s="54" t="str">
        <f>VLOOKUP(AD57,review3,11,FALSE)</f>
        <v>SangNM18</v>
      </c>
      <c r="AH57" s="47" t="b">
        <f>OR(EXACT(AF57,H57),EXACT(AF57,I57),EXACT(AG57,H57),EXACT(AG57,I57))</f>
        <v>0</v>
      </c>
      <c r="AI57" s="47" t="b">
        <f>OR(EXACT(AF57,V57),EXACT(AF57,W57),EXACT(AG57,V57),EXACT(AG57,W57))</f>
        <v>0</v>
      </c>
      <c r="AJ57" s="53">
        <f>VLOOKUP(AD57,review3,7,FALSE)</f>
        <v>46133</v>
      </c>
      <c r="AK57" s="53" t="str">
        <f>VLOOKUP(AD57,review3,8,FALSE)</f>
        <v>Tue</v>
      </c>
      <c r="AL57" s="47">
        <f>VLOOKUP(AD57,review3,4,FALSE)</f>
        <v>3</v>
      </c>
      <c r="AM57" s="47" t="str">
        <f>VLOOKUP(AD57,review3,9,FALSE)</f>
        <v>NVH.414</v>
      </c>
      <c r="AN57" s="55"/>
      <c r="AO57" t="s">
        <v>688</v>
      </c>
      <c r="AP57" s="122">
        <v>402</v>
      </c>
      <c r="AQ57" s="47" t="str">
        <f>VLOOKUP(AP57,defense1_list,7,FALSE)</f>
        <v>TaiNT51_ThongNT_TriPT9_MinhTTH5_TruongLV11</v>
      </c>
      <c r="AR57" s="57">
        <f>COUNTIF(defense1_forgroup_code,AP57)</f>
        <v>8</v>
      </c>
      <c r="AS57" s="4" t="b">
        <f>ISNUMBER(SEARCH(H57,AQ57))</f>
        <v>0</v>
      </c>
      <c r="AT57" s="4" t="b">
        <f>AND(NOT(ISBLANK(I57)),(ISNUMBER(SEARCH(I57,AQ57))))</f>
        <v>0</v>
      </c>
      <c r="AU57" s="4" t="b">
        <f>(IFERROR(SEARCH(AF57,AQ57),0)+IFERROR(SEARCH(AG57,AQ57),0))&gt;0</f>
        <v>1</v>
      </c>
      <c r="AV57" s="47"/>
      <c r="AW57" s="47" t="s">
        <v>689</v>
      </c>
      <c r="AX57" s="47"/>
      <c r="AY57" s="47"/>
      <c r="AZ57" s="129">
        <v>402</v>
      </c>
      <c r="BA57" s="47" t="str">
        <f>VLOOKUP(AZ57,defense2_list,7,FALSE)</f>
        <v>TaiNT51_ThongNT_TriPT9_MinhTTH5_TruongLV11</v>
      </c>
      <c r="BB57" s="57">
        <f>COUNTIF(defense2_forgroup_code,AZ57)</f>
        <v>2</v>
      </c>
      <c r="BC57" s="4" t="b">
        <f>ISNUMBER(SEARCH(H57,BA57))</f>
        <v>0</v>
      </c>
      <c r="BD57" s="4" t="b">
        <f>AND(NOT(ISBLANK(I57)),(ISNUMBER(SEARCH(I57,AZ57))))</f>
        <v>0</v>
      </c>
      <c r="BE57" s="4"/>
      <c r="BF57" s="47"/>
      <c r="BG57" s="47"/>
    </row>
    <row r="58" spans="1:59" ht="15" thickBot="1" x14ac:dyDescent="0.4">
      <c r="A58" s="47">
        <v>13</v>
      </c>
      <c r="B58" s="48"/>
      <c r="C58" s="49" t="s">
        <v>406</v>
      </c>
      <c r="D58" s="58" t="s">
        <v>407</v>
      </c>
      <c r="E58" s="14" t="s">
        <v>408</v>
      </c>
      <c r="F58" s="14" t="s">
        <v>409</v>
      </c>
      <c r="G58" s="49" t="s">
        <v>92</v>
      </c>
      <c r="H58" s="50" t="s">
        <v>648</v>
      </c>
      <c r="I58" s="51"/>
      <c r="J58" s="6">
        <v>3641</v>
      </c>
      <c r="K58" s="6">
        <f>COUNTIF(review1_code,J58)</f>
        <v>3</v>
      </c>
      <c r="L58" s="4" t="str">
        <f>VLOOKUP(J58,review1,10,FALSE)</f>
        <v>NhanDT35</v>
      </c>
      <c r="M58" s="4" t="str">
        <f>VLOOKUP(J58,review1,11,FALSE)</f>
        <v>VuLNS</v>
      </c>
      <c r="N58" s="47" t="b">
        <f>OR(EXACT(L58,H58),EXACT(L58,I58),EXACT(M58,H58),EXACT(M58,I58))</f>
        <v>0</v>
      </c>
      <c r="O58" s="52">
        <f>VLOOKUP(J58,review1,7,FALSE)</f>
        <v>46046</v>
      </c>
      <c r="P58" s="52" t="str">
        <f>VLOOKUP(J58,review1,8,FALSE)</f>
        <v>Sat</v>
      </c>
      <c r="Q58" s="47">
        <f>INT(MOD(J58/10,10))</f>
        <v>4</v>
      </c>
      <c r="R58" s="47" t="str">
        <f>VLOOKUP(J58,review1,9,FALSE)</f>
        <v>NVH 420</v>
      </c>
      <c r="S58" s="47">
        <f>J58+4000</f>
        <v>7641</v>
      </c>
      <c r="T58" s="6">
        <v>7641</v>
      </c>
      <c r="U58" s="6">
        <f>COUNTIF(review2_code,T58)</f>
        <v>3</v>
      </c>
      <c r="V58" s="4" t="str">
        <f>VLOOKUP(T58,review2,10,FALSE)</f>
        <v>NhanDT35</v>
      </c>
      <c r="W58" s="4" t="str">
        <f>VLOOKUP(T58,review2,11,FALSE)</f>
        <v>VuLNS</v>
      </c>
      <c r="X58" s="4" t="b">
        <f>OR(EXACT(V58,H58),EXACT(V58,I58),EXACT(W58,H58),EXACT(W58,I58))</f>
        <v>0</v>
      </c>
      <c r="Y58" s="53">
        <f>VLOOKUP(T58,review2,7,FALSE)</f>
        <v>46087</v>
      </c>
      <c r="Z58" s="53" t="str">
        <f>VLOOKUP(T58,review2,8,FALSE)</f>
        <v>Fri</v>
      </c>
      <c r="AA58" s="47">
        <f>INT(MOD(T58/10,10))</f>
        <v>4</v>
      </c>
      <c r="AB58" s="47" t="e">
        <f>VLOOKUP(J58,review2,9,FALSE)</f>
        <v>#N/A</v>
      </c>
      <c r="AC58" s="47"/>
      <c r="AD58" s="6">
        <v>14321</v>
      </c>
      <c r="AE58" s="6">
        <f>COUNTIF(review3_code,AD58)</f>
        <v>3</v>
      </c>
      <c r="AF58" s="54" t="str">
        <f>VLOOKUP(AD58,review3,10,FALSE)</f>
        <v>TamPM</v>
      </c>
      <c r="AG58" s="54" t="str">
        <f>VLOOKUP(AD58,review3,11,FALSE)</f>
        <v>TriPT9</v>
      </c>
      <c r="AH58" s="47" t="b">
        <f>OR(EXACT(AF58,H58),EXACT(AF58,I58),EXACT(AG58,H58),EXACT(AG58,I58))</f>
        <v>0</v>
      </c>
      <c r="AI58" s="47" t="b">
        <f>OR(EXACT(AF58,V58),EXACT(AF58,W58),EXACT(AG58,V58),EXACT(AG58,W58))</f>
        <v>0</v>
      </c>
      <c r="AJ58" s="53">
        <f>VLOOKUP(AD58,review3,7,FALSE)</f>
        <v>46133</v>
      </c>
      <c r="AK58" s="53" t="str">
        <f>VLOOKUP(AD58,review3,8,FALSE)</f>
        <v>Tue</v>
      </c>
      <c r="AL58" s="47">
        <f>VLOOKUP(AD58,review3,4,FALSE)</f>
        <v>2</v>
      </c>
      <c r="AM58" s="47" t="str">
        <f>VLOOKUP(AD58,review3,9,FALSE)</f>
        <v>NVH.415</v>
      </c>
      <c r="AN58" s="55"/>
      <c r="AO58" t="s">
        <v>688</v>
      </c>
      <c r="AP58" s="122">
        <v>402</v>
      </c>
      <c r="AQ58" s="47" t="str">
        <f>VLOOKUP(AP58,defense1_list,7,FALSE)</f>
        <v>TaiNT51_ThongNT_TriPT9_MinhTTH5_TruongLV11</v>
      </c>
      <c r="AR58" s="57">
        <f>COUNTIF(defense1_forgroup_code,AP58)</f>
        <v>8</v>
      </c>
      <c r="AS58" s="4" t="b">
        <f>ISNUMBER(SEARCH(H58,AQ58))</f>
        <v>0</v>
      </c>
      <c r="AT58" s="4" t="b">
        <f>AND(NOT(ISBLANK(I58)),(ISNUMBER(SEARCH(I58,AQ58))))</f>
        <v>0</v>
      </c>
      <c r="AU58" s="4" t="b">
        <f>(IFERROR(SEARCH(AF58,AQ58),0)+IFERROR(SEARCH(AG58,AQ58),0))&gt;0</f>
        <v>1</v>
      </c>
      <c r="AV58" s="47"/>
      <c r="AW58" s="47" t="s">
        <v>689</v>
      </c>
      <c r="AX58" s="47"/>
      <c r="AY58" s="47"/>
      <c r="AZ58" s="129">
        <v>402</v>
      </c>
      <c r="BA58" s="47" t="str">
        <f>VLOOKUP(AZ58,defense2_list,7,FALSE)</f>
        <v>TaiNT51_ThongNT_TriPT9_MinhTTH5_TruongLV11</v>
      </c>
      <c r="BB58" s="57">
        <f>COUNTIF(defense2_forgroup_code,AZ58)</f>
        <v>2</v>
      </c>
      <c r="BC58" s="4" t="b">
        <f>ISNUMBER(SEARCH(H58,BA58))</f>
        <v>0</v>
      </c>
      <c r="BD58" s="4" t="b">
        <f>AND(NOT(ISBLANK(I58)),(ISNUMBER(SEARCH(I58,AZ58))))</f>
        <v>0</v>
      </c>
      <c r="BE58" s="4"/>
      <c r="BF58" s="47"/>
      <c r="BG58" s="47"/>
    </row>
    <row r="59" spans="1:59" ht="29.5" thickBot="1" x14ac:dyDescent="0.4">
      <c r="A59" s="47">
        <v>64</v>
      </c>
      <c r="B59" s="48"/>
      <c r="C59" s="49" t="s">
        <v>265</v>
      </c>
      <c r="D59" s="58" t="s">
        <v>266</v>
      </c>
      <c r="E59" s="14" t="s">
        <v>267</v>
      </c>
      <c r="F59" s="14" t="s">
        <v>268</v>
      </c>
      <c r="G59" s="49" t="s">
        <v>613</v>
      </c>
      <c r="H59" s="50" t="s">
        <v>644</v>
      </c>
      <c r="I59" s="51" t="s">
        <v>88</v>
      </c>
      <c r="J59" s="6">
        <v>3652</v>
      </c>
      <c r="K59" s="6">
        <f>COUNTIF(review1_code,J59)</f>
        <v>3</v>
      </c>
      <c r="L59" s="4" t="str">
        <f>VLOOKUP(J59,review1,10,FALSE)</f>
        <v>PhuongLHK</v>
      </c>
      <c r="M59" s="4" t="str">
        <f>VLOOKUP(J59,review1,11,FALSE)</f>
        <v>TamPM</v>
      </c>
      <c r="N59" s="47" t="b">
        <f>OR(EXACT(L59,H59),EXACT(L59,I59),EXACT(M59,H59),EXACT(M59,I59))</f>
        <v>0</v>
      </c>
      <c r="O59" s="52">
        <f>VLOOKUP(J59,review1,7,FALSE)</f>
        <v>46046</v>
      </c>
      <c r="P59" s="52" t="str">
        <f>VLOOKUP(J59,review1,8,FALSE)</f>
        <v>Sat</v>
      </c>
      <c r="Q59" s="47">
        <f>INT(MOD(J59/10,10))</f>
        <v>5</v>
      </c>
      <c r="R59" s="47" t="str">
        <f>VLOOKUP(J59,review1,9,FALSE)</f>
        <v>NVH G.01</v>
      </c>
      <c r="S59" s="47">
        <f>J59+4000</f>
        <v>7652</v>
      </c>
      <c r="T59" s="6">
        <v>7652</v>
      </c>
      <c r="U59" s="6">
        <f>COUNTIF(review2_code,T59)</f>
        <v>3</v>
      </c>
      <c r="V59" s="4" t="str">
        <f>VLOOKUP(T59,review2,10,FALSE)</f>
        <v>PhuongLHK</v>
      </c>
      <c r="W59" s="4" t="str">
        <f>VLOOKUP(T59,review2,11,FALSE)</f>
        <v>TamPM</v>
      </c>
      <c r="X59" s="4" t="b">
        <f>OR(EXACT(V59,H59),EXACT(V59,I59),EXACT(W59,H59),EXACT(W59,I59))</f>
        <v>0</v>
      </c>
      <c r="Y59" s="53">
        <f>VLOOKUP(T59,review2,7,FALSE)</f>
        <v>46087</v>
      </c>
      <c r="Z59" s="53" t="str">
        <f>VLOOKUP(T59,review2,8,FALSE)</f>
        <v>Fri</v>
      </c>
      <c r="AA59" s="47">
        <f>INT(MOD(T59/10,10))</f>
        <v>5</v>
      </c>
      <c r="AB59" s="47" t="e">
        <f>VLOOKUP(J59,review2,9,FALSE)</f>
        <v>#N/A</v>
      </c>
      <c r="AC59" s="47"/>
      <c r="AD59" s="6">
        <v>14311</v>
      </c>
      <c r="AE59" s="6">
        <f>COUNTIF(review3_code,AD59)</f>
        <v>3</v>
      </c>
      <c r="AF59" s="54" t="str">
        <f>VLOOKUP(AD59,review3,10,FALSE)</f>
        <v>HuongNTC2</v>
      </c>
      <c r="AG59" s="54" t="str">
        <f>VLOOKUP(AD59,review3,11,FALSE)</f>
        <v>VanTTN2</v>
      </c>
      <c r="AH59" s="47" t="b">
        <f>OR(EXACT(AF59,H59),EXACT(AF59,I59),EXACT(AG59,H59),EXACT(AG59,I59))</f>
        <v>0</v>
      </c>
      <c r="AI59" s="47" t="b">
        <f>OR(EXACT(AF59,V59),EXACT(AF59,W59),EXACT(AG59,V59),EXACT(AG59,W59))</f>
        <v>0</v>
      </c>
      <c r="AJ59" s="53">
        <f>VLOOKUP(AD59,review3,7,FALSE)</f>
        <v>46133</v>
      </c>
      <c r="AK59" s="53" t="str">
        <f>VLOOKUP(AD59,review3,8,FALSE)</f>
        <v>Tue</v>
      </c>
      <c r="AL59" s="47">
        <f>VLOOKUP(AD59,review3,4,FALSE)</f>
        <v>1</v>
      </c>
      <c r="AM59" s="47" t="str">
        <f>VLOOKUP(AD59,review3,9,FALSE)</f>
        <v>NVH.414</v>
      </c>
      <c r="AN59" s="55"/>
      <c r="AO59" t="s">
        <v>687</v>
      </c>
      <c r="AP59" s="56"/>
      <c r="AQ59" s="47" t="e">
        <f>VLOOKUP(AP59,defense1_list,7,FALSE)</f>
        <v>#N/A</v>
      </c>
      <c r="AR59" s="57">
        <f>COUNTIF(defense1_forgroup_code,AP59)</f>
        <v>0</v>
      </c>
      <c r="AS59" s="4" t="b">
        <f>ISNUMBER(SEARCH(H59,AQ59))</f>
        <v>0</v>
      </c>
      <c r="AT59" s="4" t="b">
        <f>AND(NOT(ISBLANK(I59)),(ISNUMBER(SEARCH(I59,AQ59))))</f>
        <v>0</v>
      </c>
      <c r="AU59" s="4"/>
      <c r="AV59" s="47"/>
      <c r="AW59" s="47" t="s">
        <v>687</v>
      </c>
      <c r="AX59" s="47"/>
      <c r="AY59" s="47"/>
      <c r="AZ59" s="127">
        <v>403</v>
      </c>
      <c r="BA59" s="47" t="str">
        <f>VLOOKUP(AZ59,defense2_list,7,FALSE)</f>
        <v>DucDNM2_PhucNT40_HoangNT20_LongT5_ChiLTQ6</v>
      </c>
      <c r="BB59" s="57">
        <f>COUNTIF(defense2_forgroup_code,AZ59)</f>
        <v>2</v>
      </c>
      <c r="BC59" s="4" t="b">
        <f>ISNUMBER(SEARCH(H59,BA59))</f>
        <v>0</v>
      </c>
      <c r="BD59" s="4" t="b">
        <f>AND(NOT(ISBLANK(I59)),(ISNUMBER(SEARCH(I59,AZ59))))</f>
        <v>0</v>
      </c>
      <c r="BE59" s="4"/>
      <c r="BF59" s="47"/>
      <c r="BG59" s="47"/>
    </row>
    <row r="60" spans="1:59" ht="15" thickBot="1" x14ac:dyDescent="0.4">
      <c r="A60" s="47">
        <v>34</v>
      </c>
      <c r="B60" s="48"/>
      <c r="C60" s="49" t="s">
        <v>421</v>
      </c>
      <c r="D60" s="58" t="s">
        <v>422</v>
      </c>
      <c r="E60" s="14" t="s">
        <v>423</v>
      </c>
      <c r="F60" s="14" t="s">
        <v>424</v>
      </c>
      <c r="G60" s="49" t="s">
        <v>625</v>
      </c>
      <c r="H60" s="50" t="s">
        <v>649</v>
      </c>
      <c r="I60" s="51" t="s">
        <v>650</v>
      </c>
      <c r="J60" s="6">
        <v>4441</v>
      </c>
      <c r="K60" s="6">
        <f>COUNTIF(review1_code,J60)</f>
        <v>3</v>
      </c>
      <c r="L60" s="74" t="str">
        <f>VLOOKUP(J60,review1,10,FALSE)</f>
        <v>DucDNM2</v>
      </c>
      <c r="M60" s="74" t="str">
        <f>VLOOKUP(J60,review1,11,FALSE)</f>
        <v>VanTTN2</v>
      </c>
      <c r="N60" s="47" t="b">
        <f>OR(EXACT(L60,H60),EXACT(L60,I60),EXACT(M60,H60),EXACT(M60,I60))</f>
        <v>0</v>
      </c>
      <c r="O60" s="52">
        <f>VLOOKUP(J60,review1,7,FALSE)</f>
        <v>46051</v>
      </c>
      <c r="P60" s="52" t="str">
        <f>VLOOKUP(J60,review1,8,FALSE)</f>
        <v>Thu</v>
      </c>
      <c r="Q60" s="47">
        <f>INT(MOD(J60/10,10))</f>
        <v>4</v>
      </c>
      <c r="R60" s="47" t="str">
        <f>VLOOKUP(J60,review1,9,FALSE)</f>
        <v>LB21 (Thư viên Campus)</v>
      </c>
      <c r="S60" s="47">
        <f>J60+4000</f>
        <v>8441</v>
      </c>
      <c r="T60" s="6">
        <v>8441</v>
      </c>
      <c r="U60" s="6">
        <f>COUNTIF(review2_code,T60)</f>
        <v>3</v>
      </c>
      <c r="V60" s="4" t="str">
        <f>VLOOKUP(T60,review2,10,FALSE)</f>
        <v>DucDNM2</v>
      </c>
      <c r="W60" s="4" t="str">
        <f>VLOOKUP(T60,review2,11,FALSE)</f>
        <v>VanTTN2</v>
      </c>
      <c r="X60" s="4" t="b">
        <f>OR(EXACT(V60,H60),EXACT(V60,I60),EXACT(W60,H60),EXACT(W60,I60))</f>
        <v>0</v>
      </c>
      <c r="Y60" s="53">
        <f>VLOOKUP(T60,review2,7,FALSE)</f>
        <v>46092</v>
      </c>
      <c r="Z60" s="53" t="str">
        <f>VLOOKUP(T60,review2,8,FALSE)</f>
        <v>Wed</v>
      </c>
      <c r="AA60" s="47">
        <f>INT(MOD(T60/10,10))</f>
        <v>4</v>
      </c>
      <c r="AB60" s="47" t="e">
        <f>VLOOKUP(J60,review2,9,FALSE)</f>
        <v>#N/A</v>
      </c>
      <c r="AC60" s="47"/>
      <c r="AD60" s="6">
        <v>14532</v>
      </c>
      <c r="AE60" s="6">
        <f>COUNTIF(review3_code,AD60)</f>
        <v>3</v>
      </c>
      <c r="AF60" s="54" t="str">
        <f>VLOOKUP(AD60,review3,10,FALSE)</f>
        <v>HuongNTC2</v>
      </c>
      <c r="AG60" s="54" t="str">
        <f>VLOOKUP(AD60,review3,11,FALSE)</f>
        <v>HoangNT20</v>
      </c>
      <c r="AH60" s="47" t="b">
        <f>OR(EXACT(AF60,H60),EXACT(AF60,I60),EXACT(AG60,H60),EXACT(AG60,I60))</f>
        <v>0</v>
      </c>
      <c r="AI60" s="47" t="b">
        <f>OR(EXACT(AF60,V60),EXACT(AF60,W60),EXACT(AG60,V60),EXACT(AG60,W60))</f>
        <v>0</v>
      </c>
      <c r="AJ60" s="53">
        <f>VLOOKUP(AD60,review3,7,FALSE)</f>
        <v>46135</v>
      </c>
      <c r="AK60" s="53" t="str">
        <f>VLOOKUP(AD60,review3,8,FALSE)</f>
        <v>Thu</v>
      </c>
      <c r="AL60" s="47">
        <f>VLOOKUP(AD60,review3,4,FALSE)</f>
        <v>3</v>
      </c>
      <c r="AM60" s="47" t="str">
        <f>VLOOKUP(AD60,review3,9,FALSE)</f>
        <v>NVH.414</v>
      </c>
      <c r="AN60" s="55"/>
      <c r="AO60" t="s">
        <v>687</v>
      </c>
      <c r="AP60" s="122"/>
      <c r="AQ60" s="47" t="e">
        <f>VLOOKUP(AP60,defense1_list,7,FALSE)</f>
        <v>#N/A</v>
      </c>
      <c r="AR60" s="57">
        <f>COUNTIF(defense1_forgroup_code,AP60)</f>
        <v>0</v>
      </c>
      <c r="AS60" s="4" t="b">
        <f>ISNUMBER(SEARCH(H60,AQ60))</f>
        <v>0</v>
      </c>
      <c r="AT60" s="4" t="b">
        <f>AND(NOT(ISBLANK(I60)),(ISNUMBER(SEARCH(I60,AQ60))))</f>
        <v>0</v>
      </c>
      <c r="AU60" s="4"/>
      <c r="AV60" s="47"/>
      <c r="AW60" s="47" t="s">
        <v>687</v>
      </c>
      <c r="AX60" s="47"/>
      <c r="AY60" s="47"/>
      <c r="AZ60" s="127">
        <v>403</v>
      </c>
      <c r="BA60" s="47" t="str">
        <f>VLOOKUP(AZ60,defense2_list,7,FALSE)</f>
        <v>DucDNM2_PhucNT40_HoangNT20_LongT5_ChiLTQ6</v>
      </c>
      <c r="BB60" s="57">
        <f>COUNTIF(defense2_forgroup_code,AZ60)</f>
        <v>2</v>
      </c>
      <c r="BC60" s="4" t="b">
        <f>ISNUMBER(SEARCH(H60,BA60))</f>
        <v>0</v>
      </c>
      <c r="BD60" s="4" t="b">
        <f>AND(NOT(ISBLANK(I60)),(ISNUMBER(SEARCH(I60,AZ60))))</f>
        <v>0</v>
      </c>
      <c r="BE60" s="4"/>
      <c r="BF60" s="47"/>
      <c r="BG60" s="47"/>
    </row>
    <row r="61" spans="1:59" ht="15" thickBot="1" x14ac:dyDescent="0.4">
      <c r="A61" s="47">
        <v>106</v>
      </c>
      <c r="B61" s="48"/>
      <c r="C61" s="49" t="s">
        <v>590</v>
      </c>
      <c r="D61" s="58" t="s">
        <v>591</v>
      </c>
      <c r="E61" s="14" t="s">
        <v>592</v>
      </c>
      <c r="F61" s="14" t="s">
        <v>593</v>
      </c>
      <c r="G61" s="49" t="s">
        <v>72</v>
      </c>
      <c r="H61" s="50" t="s">
        <v>67</v>
      </c>
      <c r="I61" s="51"/>
      <c r="J61" s="6">
        <v>3651</v>
      </c>
      <c r="K61" s="6">
        <f>COUNTIF(review1_code,J61)</f>
        <v>3</v>
      </c>
      <c r="L61" s="4" t="str">
        <f>VLOOKUP(J61,review1,10,FALSE)</f>
        <v>TaiNT51</v>
      </c>
      <c r="M61" s="4" t="str">
        <f>VLOOKUP(J61,review1,11,FALSE)</f>
        <v>LamNN15</v>
      </c>
      <c r="N61" s="47" t="b">
        <f>OR(EXACT(L61,H61),EXACT(L61,I61),EXACT(M61,H61),EXACT(M61,I61))</f>
        <v>0</v>
      </c>
      <c r="O61" s="52">
        <f>VLOOKUP(J61,review1,7,FALSE)</f>
        <v>46046</v>
      </c>
      <c r="P61" s="52" t="str">
        <f>VLOOKUP(J61,review1,8,FALSE)</f>
        <v>Sat</v>
      </c>
      <c r="Q61" s="47">
        <f>INT(MOD(J61/10,10))</f>
        <v>5</v>
      </c>
      <c r="R61" s="47" t="str">
        <f>VLOOKUP(J61,review1,9,FALSE)</f>
        <v>NVH G.02</v>
      </c>
      <c r="S61" s="47">
        <f>J61+4000</f>
        <v>7651</v>
      </c>
      <c r="T61" s="6">
        <v>7651</v>
      </c>
      <c r="U61" s="6">
        <f>COUNTIF(review2_code,T61)</f>
        <v>3</v>
      </c>
      <c r="V61" s="4" t="str">
        <f>VLOOKUP(T61,review2,10,FALSE)</f>
        <v>TaiNT51</v>
      </c>
      <c r="W61" s="4" t="str">
        <f>VLOOKUP(T61,review2,11,FALSE)</f>
        <v>LamNN15</v>
      </c>
      <c r="X61" s="4" t="b">
        <f>OR(EXACT(V61,H61),EXACT(V61,I61),EXACT(W61,H61),EXACT(W61,I61))</f>
        <v>0</v>
      </c>
      <c r="Y61" s="53">
        <f>VLOOKUP(T61,review2,7,FALSE)</f>
        <v>46087</v>
      </c>
      <c r="Z61" s="53" t="str">
        <f>VLOOKUP(T61,review2,8,FALSE)</f>
        <v>Fri</v>
      </c>
      <c r="AA61" s="47">
        <f>INT(MOD(T61/10,10))</f>
        <v>5</v>
      </c>
      <c r="AB61" s="47" t="e">
        <f>VLOOKUP(J61,review2,9,FALSE)</f>
        <v>#N/A</v>
      </c>
      <c r="AC61" s="47"/>
      <c r="AD61" s="6">
        <v>14412</v>
      </c>
      <c r="AE61" s="6">
        <f>COUNTIF(review3_code,AD61)</f>
        <v>3</v>
      </c>
      <c r="AF61" s="54" t="str">
        <f>VLOOKUP(AD61,review3,10,FALSE)</f>
        <v>PhuongLHK</v>
      </c>
      <c r="AG61" s="54" t="str">
        <f>VLOOKUP(AD61,review3,11,FALSE)</f>
        <v>VuLNS</v>
      </c>
      <c r="AH61" s="47" t="b">
        <f>OR(EXACT(AF61,H61),EXACT(AF61,I61),EXACT(AG61,H61),EXACT(AG61,I61))</f>
        <v>0</v>
      </c>
      <c r="AI61" s="47" t="b">
        <f>OR(EXACT(AF61,V61),EXACT(AF61,W61),EXACT(AG61,V61),EXACT(AG61,W61))</f>
        <v>0</v>
      </c>
      <c r="AJ61" s="53">
        <f>VLOOKUP(AD61,review3,7,FALSE)</f>
        <v>46134</v>
      </c>
      <c r="AK61" s="53" t="str">
        <f>VLOOKUP(AD61,review3,8,FALSE)</f>
        <v>Wed</v>
      </c>
      <c r="AL61" s="47">
        <f>VLOOKUP(AD61,review3,4,FALSE)</f>
        <v>1</v>
      </c>
      <c r="AM61" s="47" t="str">
        <f>VLOOKUP(AD61,review3,9,FALSE)</f>
        <v>NVH.301</v>
      </c>
      <c r="AN61" s="55"/>
      <c r="AO61" t="s">
        <v>688</v>
      </c>
      <c r="AP61" s="56">
        <v>404</v>
      </c>
      <c r="AQ61" s="47" t="str">
        <f>VLOOKUP(AP61,defense1_list,7,FALSE)</f>
        <v>PhuongLHK_HungLD5_NhanDT35_VuLNS_TamPM</v>
      </c>
      <c r="AR61" s="57">
        <f>COUNTIF(defense1_forgroup_code,AP61)</f>
        <v>7</v>
      </c>
      <c r="AS61" s="4" t="b">
        <f>ISNUMBER(SEARCH(H61,AQ61))</f>
        <v>0</v>
      </c>
      <c r="AT61" s="4" t="b">
        <f>AND(NOT(ISBLANK(I61)),(ISNUMBER(SEARCH(I61,AQ61))))</f>
        <v>0</v>
      </c>
      <c r="AU61" s="4" t="b">
        <f>(IFERROR(SEARCH(AF61,AQ61),0)+IFERROR(SEARCH(AG61,AQ61),0))&gt;0</f>
        <v>1</v>
      </c>
      <c r="AV61" s="47"/>
      <c r="AW61" s="47" t="s">
        <v>689</v>
      </c>
      <c r="AX61" s="47"/>
      <c r="AY61" s="47"/>
      <c r="AZ61" s="127">
        <v>404</v>
      </c>
      <c r="BA61" s="47" t="str">
        <f>VLOOKUP(AZ61,defense2_list,7,FALSE)</f>
        <v>PhuongLHK_HungLD5_NhanDT35_SangNM18_TamPM</v>
      </c>
      <c r="BB61" s="57">
        <f>COUNTIF(defense2_forgroup_code,AZ61)</f>
        <v>2</v>
      </c>
      <c r="BC61" s="4" t="b">
        <f>ISNUMBER(SEARCH(H61,BA61))</f>
        <v>0</v>
      </c>
      <c r="BD61" s="4" t="b">
        <f>AND(NOT(ISBLANK(I61)),(ISNUMBER(SEARCH(I61,AZ61))))</f>
        <v>0</v>
      </c>
      <c r="BE61" s="4"/>
      <c r="BF61" s="47"/>
      <c r="BG61" s="47"/>
    </row>
    <row r="62" spans="1:59" ht="15" thickBot="1" x14ac:dyDescent="0.4">
      <c r="A62" s="47">
        <v>9</v>
      </c>
      <c r="B62" s="48"/>
      <c r="C62" s="49" t="s">
        <v>402</v>
      </c>
      <c r="D62" s="58" t="s">
        <v>403</v>
      </c>
      <c r="E62" s="14" t="s">
        <v>404</v>
      </c>
      <c r="F62" s="14" t="s">
        <v>405</v>
      </c>
      <c r="G62" s="49" t="s">
        <v>70</v>
      </c>
      <c r="H62" s="50" t="s">
        <v>71</v>
      </c>
      <c r="I62" s="51"/>
      <c r="J62" s="6">
        <v>3631</v>
      </c>
      <c r="K62" s="6">
        <f>COUNTIF(review1_code,J62)</f>
        <v>3</v>
      </c>
      <c r="L62" s="4" t="str">
        <f>VLOOKUP(J62,review1,10,FALSE)</f>
        <v>HuongNTC2</v>
      </c>
      <c r="M62" s="4" t="str">
        <f>VLOOKUP(J62,review1,11,FALSE)</f>
        <v>SangNM18</v>
      </c>
      <c r="N62" s="47" t="b">
        <f>OR(EXACT(L62,H62),EXACT(L62,I62),EXACT(M62,H62),EXACT(M62,I62))</f>
        <v>0</v>
      </c>
      <c r="O62" s="52">
        <f>VLOOKUP(J62,review1,7,FALSE)</f>
        <v>46046</v>
      </c>
      <c r="P62" s="52" t="str">
        <f>VLOOKUP(J62,review1,8,FALSE)</f>
        <v>Sat</v>
      </c>
      <c r="Q62" s="47">
        <f>INT(MOD(J62/10,10))</f>
        <v>3</v>
      </c>
      <c r="R62" s="47" t="str">
        <f>VLOOKUP(J62,review1,9,FALSE)</f>
        <v>NVH G.01</v>
      </c>
      <c r="S62" s="47">
        <f>J62+4000</f>
        <v>7631</v>
      </c>
      <c r="T62" s="6">
        <v>7631</v>
      </c>
      <c r="U62" s="6">
        <f>COUNTIF(review2_code,T62)</f>
        <v>3</v>
      </c>
      <c r="V62" s="4" t="str">
        <f>VLOOKUP(T62,review2,10,FALSE)</f>
        <v>HuongNTC2</v>
      </c>
      <c r="W62" s="4" t="str">
        <f>VLOOKUP(T62,review2,11,FALSE)</f>
        <v>SangNM18</v>
      </c>
      <c r="X62" s="4" t="b">
        <f>OR(EXACT(V62,H62),EXACT(V62,I62),EXACT(W62,H62),EXACT(W62,I62))</f>
        <v>0</v>
      </c>
      <c r="Y62" s="53">
        <f>VLOOKUP(T62,review2,7,FALSE)</f>
        <v>46087</v>
      </c>
      <c r="Z62" s="53" t="str">
        <f>VLOOKUP(T62,review2,8,FALSE)</f>
        <v>Fri</v>
      </c>
      <c r="AA62" s="47">
        <f>INT(MOD(T62/10,10))</f>
        <v>3</v>
      </c>
      <c r="AB62" s="47" t="e">
        <f>VLOOKUP(J62,review2,9,FALSE)</f>
        <v>#N/A</v>
      </c>
      <c r="AC62" s="47"/>
      <c r="AD62" s="6">
        <v>14251</v>
      </c>
      <c r="AE62" s="6">
        <f>COUNTIF(review3_code,AD62)</f>
        <v>3</v>
      </c>
      <c r="AF62" s="54" t="str">
        <f>VLOOKUP(AD62,review3,10,FALSE)</f>
        <v>PhuongLHK</v>
      </c>
      <c r="AG62" s="54" t="str">
        <f>VLOOKUP(AD62,review3,11,FALSE)</f>
        <v>NhanDT35</v>
      </c>
      <c r="AH62" s="47" t="b">
        <f>OR(EXACT(AF62,H62),EXACT(AF62,I62),EXACT(AG62,H62),EXACT(AG62,I62))</f>
        <v>0</v>
      </c>
      <c r="AI62" s="47" t="b">
        <f>OR(EXACT(AF62,V62),EXACT(AF62,W62),EXACT(AG62,V62),EXACT(AG62,W62))</f>
        <v>0</v>
      </c>
      <c r="AJ62" s="53">
        <f>VLOOKUP(AD62,review3,7,FALSE)</f>
        <v>46132</v>
      </c>
      <c r="AK62" s="53" t="str">
        <f>VLOOKUP(AD62,review3,8,FALSE)</f>
        <v>Mon</v>
      </c>
      <c r="AL62" s="47">
        <f>VLOOKUP(AD62,review3,4,FALSE)</f>
        <v>5</v>
      </c>
      <c r="AM62" s="47" t="str">
        <f>VLOOKUP(AD62,review3,9,FALSE)</f>
        <v>NVH.301</v>
      </c>
      <c r="AN62" s="55"/>
      <c r="AO62" t="s">
        <v>688</v>
      </c>
      <c r="AP62" s="56">
        <v>404</v>
      </c>
      <c r="AQ62" s="47" t="str">
        <f>VLOOKUP(AP62,defense1_list,7,FALSE)</f>
        <v>PhuongLHK_HungLD5_NhanDT35_VuLNS_TamPM</v>
      </c>
      <c r="AR62" s="57">
        <f>COUNTIF(defense1_forgroup_code,AP62)</f>
        <v>7</v>
      </c>
      <c r="AS62" s="4" t="b">
        <f>ISNUMBER(SEARCH(H62,AQ62))</f>
        <v>0</v>
      </c>
      <c r="AT62" s="4" t="b">
        <f>AND(NOT(ISBLANK(I62)),(ISNUMBER(SEARCH(I62,AQ62))))</f>
        <v>0</v>
      </c>
      <c r="AU62" s="4" t="b">
        <f>(IFERROR(SEARCH(AF62,AQ62),0)+IFERROR(SEARCH(AG62,AQ62),0))&gt;0</f>
        <v>1</v>
      </c>
      <c r="AV62" s="47"/>
      <c r="AW62" s="47" t="s">
        <v>689</v>
      </c>
      <c r="AX62" s="47"/>
      <c r="AY62" s="47"/>
      <c r="AZ62" s="127">
        <v>404</v>
      </c>
      <c r="BA62" s="47" t="str">
        <f>VLOOKUP(AZ62,defense2_list,7,FALSE)</f>
        <v>PhuongLHK_HungLD5_NhanDT35_SangNM18_TamPM</v>
      </c>
      <c r="BB62" s="57">
        <f>COUNTIF(defense2_forgroup_code,AZ62)</f>
        <v>2</v>
      </c>
      <c r="BC62" s="4" t="b">
        <f>ISNUMBER(SEARCH(H62,BA62))</f>
        <v>0</v>
      </c>
      <c r="BD62" s="4" t="b">
        <f>AND(NOT(ISBLANK(I62)),(ISNUMBER(SEARCH(I62,AZ62))))</f>
        <v>0</v>
      </c>
      <c r="BE62" s="4"/>
      <c r="BF62" s="47"/>
      <c r="BG62" s="47"/>
    </row>
    <row r="63" spans="1:59" ht="15" thickBot="1" x14ac:dyDescent="0.4">
      <c r="A63" s="47">
        <v>124</v>
      </c>
      <c r="B63" s="48"/>
      <c r="C63" s="49" t="s">
        <v>493</v>
      </c>
      <c r="D63" s="58" t="s">
        <v>494</v>
      </c>
      <c r="E63" s="14" t="s">
        <v>495</v>
      </c>
      <c r="F63" s="14" t="s">
        <v>496</v>
      </c>
      <c r="G63" s="49" t="s">
        <v>83</v>
      </c>
      <c r="H63" s="50" t="s">
        <v>13</v>
      </c>
      <c r="I63" s="51"/>
      <c r="J63" s="6">
        <v>4351</v>
      </c>
      <c r="K63" s="6">
        <f>COUNTIF(review1_code,J63)</f>
        <v>3</v>
      </c>
      <c r="L63" s="4" t="str">
        <f>VLOOKUP(J63,review1,10,FALSE)</f>
        <v>PhuongLHK</v>
      </c>
      <c r="M63" s="4" t="str">
        <f>VLOOKUP(J63,review1,11,FALSE)</f>
        <v>TamPM</v>
      </c>
      <c r="N63" s="47" t="b">
        <f>OR(EXACT(L63,H63),EXACT(L63,I63),EXACT(M63,H63),EXACT(M63,I63))</f>
        <v>0</v>
      </c>
      <c r="O63" s="52">
        <f>VLOOKUP(J63,review1,7,FALSE)</f>
        <v>46050</v>
      </c>
      <c r="P63" s="52" t="str">
        <f>VLOOKUP(J63,review1,8,FALSE)</f>
        <v>Wed</v>
      </c>
      <c r="Q63" s="47">
        <f>INT(MOD(J63/10,10))</f>
        <v>5</v>
      </c>
      <c r="R63" s="47" t="str">
        <f>VLOOKUP(J63,review1,9,FALSE)</f>
        <v>NVH G.01</v>
      </c>
      <c r="S63" s="47">
        <f>J63+4000</f>
        <v>8351</v>
      </c>
      <c r="T63" s="6">
        <v>8351</v>
      </c>
      <c r="U63" s="6">
        <f>COUNTIF(review2_code,T63)</f>
        <v>3</v>
      </c>
      <c r="V63" s="4" t="str">
        <f>VLOOKUP(T63,review2,10,FALSE)</f>
        <v>PhuongLHK</v>
      </c>
      <c r="W63" s="4" t="str">
        <f>VLOOKUP(T63,review2,11,FALSE)</f>
        <v>TamPM</v>
      </c>
      <c r="X63" s="4" t="b">
        <f>OR(EXACT(V63,H63),EXACT(V63,I63),EXACT(W63,H63),EXACT(W63,I63))</f>
        <v>0</v>
      </c>
      <c r="Y63" s="53">
        <f>VLOOKUP(T63,review2,7,FALSE)</f>
        <v>46091</v>
      </c>
      <c r="Z63" s="53" t="str">
        <f>VLOOKUP(T63,review2,8,FALSE)</f>
        <v>Tue</v>
      </c>
      <c r="AA63" s="47">
        <f>INT(MOD(T63/10,10))</f>
        <v>5</v>
      </c>
      <c r="AB63" s="47" t="e">
        <f>VLOOKUP(J63,review2,9,FALSE)</f>
        <v>#N/A</v>
      </c>
      <c r="AC63" s="47"/>
      <c r="AD63" s="6">
        <v>14612</v>
      </c>
      <c r="AE63" s="6">
        <f>COUNTIF(review3_code,AD63)</f>
        <v>3</v>
      </c>
      <c r="AF63" s="54" t="str">
        <f>VLOOKUP(AD63,review3,10,FALSE)</f>
        <v>DucDNM2</v>
      </c>
      <c r="AG63" s="54" t="str">
        <f>VLOOKUP(AD63,review3,11,FALSE)</f>
        <v>MinhTTH5</v>
      </c>
      <c r="AH63" s="47" t="b">
        <f>OR(EXACT(AF63,H63),EXACT(AF63,I63),EXACT(AG63,H63),EXACT(AG63,I63))</f>
        <v>0</v>
      </c>
      <c r="AI63" s="47" t="b">
        <f>OR(EXACT(AF63,V63),EXACT(AF63,W63),EXACT(AG63,V63),EXACT(AG63,W63))</f>
        <v>0</v>
      </c>
      <c r="AJ63" s="53">
        <f>VLOOKUP(AD63,review3,7,FALSE)</f>
        <v>46136</v>
      </c>
      <c r="AK63" s="53" t="str">
        <f>VLOOKUP(AD63,review3,8,FALSE)</f>
        <v>Fri</v>
      </c>
      <c r="AL63" s="47">
        <f>VLOOKUP(AD63,review3,4,FALSE)</f>
        <v>1</v>
      </c>
      <c r="AM63" s="47" t="str">
        <f>VLOOKUP(AD63,review3,9,FALSE)</f>
        <v>NVH.301</v>
      </c>
      <c r="AN63" s="55"/>
      <c r="AO63" t="s">
        <v>688</v>
      </c>
      <c r="AP63" s="56">
        <v>102</v>
      </c>
      <c r="AQ63" s="47" t="str">
        <f>VLOOKUP(AP63,defense1_list,7,FALSE)</f>
        <v>DucDNM2_NgocTTM4_HoangNT20_KiemHH_LamNN15</v>
      </c>
      <c r="AR63" s="57">
        <f>COUNTIF(defense1_forgroup_code,AP63)</f>
        <v>7</v>
      </c>
      <c r="AS63" s="4" t="b">
        <f>ISNUMBER(SEARCH(H63,AQ63))</f>
        <v>0</v>
      </c>
      <c r="AT63" s="4" t="b">
        <f>AND(NOT(ISBLANK(I63)),(ISNUMBER(SEARCH(I63,AQ63))))</f>
        <v>0</v>
      </c>
      <c r="AU63" s="4" t="b">
        <f>(IFERROR(SEARCH(AF63,AQ63),0)+IFERROR(SEARCH(AG63,AQ63),0))&gt;0</f>
        <v>1</v>
      </c>
      <c r="AV63" s="47"/>
      <c r="AW63" s="47"/>
      <c r="AX63" s="47"/>
      <c r="AY63" s="47"/>
      <c r="AZ63" s="128"/>
      <c r="BA63" s="47" t="e">
        <f>VLOOKUP(AZ63,defense2_list,7,FALSE)</f>
        <v>#N/A</v>
      </c>
      <c r="BB63" s="57">
        <f>COUNTIF(defense2_forgroup_code,AZ63)</f>
        <v>0</v>
      </c>
      <c r="BC63" s="4" t="b">
        <f>ISNUMBER(SEARCH(H63,BA63))</f>
        <v>0</v>
      </c>
      <c r="BD63" s="4" t="b">
        <f>AND(NOT(ISBLANK(I63)),(ISNUMBER(SEARCH(I63,AZ63))))</f>
        <v>0</v>
      </c>
      <c r="BE63" s="4"/>
      <c r="BF63" s="47"/>
      <c r="BG63" s="47"/>
    </row>
    <row r="64" spans="1:59" ht="15" thickBot="1" x14ac:dyDescent="0.4">
      <c r="A64" s="47">
        <v>104</v>
      </c>
      <c r="B64" s="48"/>
      <c r="C64" s="49" t="s">
        <v>497</v>
      </c>
      <c r="D64" s="58" t="s">
        <v>498</v>
      </c>
      <c r="E64" s="14" t="s">
        <v>499</v>
      </c>
      <c r="F64" s="14" t="s">
        <v>500</v>
      </c>
      <c r="G64" s="49" t="s">
        <v>83</v>
      </c>
      <c r="H64" s="50" t="s">
        <v>13</v>
      </c>
      <c r="I64" s="51"/>
      <c r="J64" s="6">
        <v>4321</v>
      </c>
      <c r="K64" s="6">
        <f>COUNTIF(review1_code,J64)</f>
        <v>3</v>
      </c>
      <c r="L64" s="4" t="str">
        <f>VLOOKUP(J64,review1,10,FALSE)</f>
        <v>TaiNT51</v>
      </c>
      <c r="M64" s="4" t="str">
        <f>VLOOKUP(J64,review1,11,FALSE)</f>
        <v>NguyenTT15</v>
      </c>
      <c r="N64" s="47" t="b">
        <f>OR(EXACT(L64,H64),EXACT(L64,I64),EXACT(M64,H64),EXACT(M64,I64))</f>
        <v>0</v>
      </c>
      <c r="O64" s="52">
        <f>VLOOKUP(J64,review1,7,FALSE)</f>
        <v>46050</v>
      </c>
      <c r="P64" s="52" t="str">
        <f>VLOOKUP(J64,review1,8,FALSE)</f>
        <v>Wed</v>
      </c>
      <c r="Q64" s="47">
        <f>INT(MOD(J64/10,10))</f>
        <v>2</v>
      </c>
      <c r="R64" s="47" t="str">
        <f>VLOOKUP(J64,review1,9,FALSE)</f>
        <v>NVH G.02</v>
      </c>
      <c r="S64" s="47">
        <f>J64+4000</f>
        <v>8321</v>
      </c>
      <c r="T64" s="6">
        <v>8321</v>
      </c>
      <c r="U64" s="6">
        <f>COUNTIF(review2_code,T64)</f>
        <v>3</v>
      </c>
      <c r="V64" s="4" t="str">
        <f>VLOOKUP(T64,review2,10,FALSE)</f>
        <v>TaiNT51</v>
      </c>
      <c r="W64" s="4" t="str">
        <f>VLOOKUP(T64,review2,11,FALSE)</f>
        <v>NguyenTT15</v>
      </c>
      <c r="X64" s="4" t="b">
        <f>OR(EXACT(V64,H64),EXACT(V64,I64),EXACT(W64,H64),EXACT(W64,I64))</f>
        <v>0</v>
      </c>
      <c r="Y64" s="53">
        <f>VLOOKUP(T64,review2,7,FALSE)</f>
        <v>46091</v>
      </c>
      <c r="Z64" s="53" t="str">
        <f>VLOOKUP(T64,review2,8,FALSE)</f>
        <v>Tue</v>
      </c>
      <c r="AA64" s="47">
        <f>INT(MOD(T64/10,10))</f>
        <v>2</v>
      </c>
      <c r="AB64" s="47" t="e">
        <f>VLOOKUP(J64,review2,9,FALSE)</f>
        <v>#N/A</v>
      </c>
      <c r="AC64" s="47"/>
      <c r="AD64" s="6">
        <v>14222</v>
      </c>
      <c r="AE64" s="6">
        <f>COUNTIF(review3_code,AD64)</f>
        <v>3</v>
      </c>
      <c r="AF64" s="54" t="str">
        <f>VLOOKUP(AD64,review3,10,FALSE)</f>
        <v>HuongNTC2</v>
      </c>
      <c r="AG64" s="54" t="str">
        <f>VLOOKUP(AD64,review3,11,FALSE)</f>
        <v>VanTTN2</v>
      </c>
      <c r="AH64" s="47" t="b">
        <f>OR(EXACT(AF64,H64),EXACT(AF64,I64),EXACT(AG64,H64),EXACT(AG64,I64))</f>
        <v>0</v>
      </c>
      <c r="AI64" s="47" t="b">
        <f>OR(EXACT(AF64,V64),EXACT(AF64,W64),EXACT(AG64,V64),EXACT(AG64,W64))</f>
        <v>0</v>
      </c>
      <c r="AJ64" s="53">
        <f>VLOOKUP(AD64,review3,7,FALSE)</f>
        <v>46132</v>
      </c>
      <c r="AK64" s="53" t="str">
        <f>VLOOKUP(AD64,review3,8,FALSE)</f>
        <v>Mon</v>
      </c>
      <c r="AL64" s="47">
        <f>VLOOKUP(AD64,review3,4,FALSE)</f>
        <v>2</v>
      </c>
      <c r="AM64" s="47" t="str">
        <f>VLOOKUP(AD64,review3,9,FALSE)</f>
        <v>NVH.414</v>
      </c>
      <c r="AN64" s="55"/>
      <c r="AO64" t="s">
        <v>688</v>
      </c>
      <c r="AP64" s="56">
        <v>101</v>
      </c>
      <c r="AQ64" s="47" t="str">
        <f>VLOOKUP(AP64,defense1_list,7,FALSE)</f>
        <v>HuongNTC2_HungLD5_SangNM18_VanTTN2_AnNDH2</v>
      </c>
      <c r="AR64" s="57">
        <f>COUNTIF(defense1_forgroup_code,AP64)</f>
        <v>8</v>
      </c>
      <c r="AS64" s="4" t="b">
        <f>ISNUMBER(SEARCH(H64,AQ64))</f>
        <v>0</v>
      </c>
      <c r="AT64" s="4" t="b">
        <f>AND(NOT(ISBLANK(I64)),(ISNUMBER(SEARCH(I64,AQ64))))</f>
        <v>0</v>
      </c>
      <c r="AU64" s="4" t="b">
        <f>(IFERROR(SEARCH(AF64,AQ64),0)+IFERROR(SEARCH(AG64,AQ64),0))&gt;0</f>
        <v>1</v>
      </c>
      <c r="AV64" s="47"/>
      <c r="AW64" s="47"/>
      <c r="AX64" s="47"/>
      <c r="AY64" s="47"/>
      <c r="AZ64" s="128"/>
      <c r="BA64" s="47" t="e">
        <f>VLOOKUP(AZ64,defense2_list,7,FALSE)</f>
        <v>#N/A</v>
      </c>
      <c r="BB64" s="57">
        <f>COUNTIF(defense2_forgroup_code,AZ64)</f>
        <v>0</v>
      </c>
      <c r="BC64" s="4" t="b">
        <f>ISNUMBER(SEARCH(H64,BA64))</f>
        <v>0</v>
      </c>
      <c r="BD64" s="4" t="b">
        <f>AND(NOT(ISBLANK(I64)),(ISNUMBER(SEARCH(I64,AZ64))))</f>
        <v>0</v>
      </c>
      <c r="BE64" s="4"/>
      <c r="BF64" s="47"/>
      <c r="BG64" s="47"/>
    </row>
    <row r="65" spans="1:59" ht="15" thickBot="1" x14ac:dyDescent="0.4">
      <c r="A65" s="47">
        <v>82</v>
      </c>
      <c r="B65" s="48"/>
      <c r="C65" s="49" t="s">
        <v>501</v>
      </c>
      <c r="D65" s="58" t="s">
        <v>502</v>
      </c>
      <c r="E65" s="14" t="s">
        <v>503</v>
      </c>
      <c r="F65" s="14" t="s">
        <v>504</v>
      </c>
      <c r="G65" s="49" t="s">
        <v>83</v>
      </c>
      <c r="H65" s="50" t="s">
        <v>13</v>
      </c>
      <c r="I65" s="51"/>
      <c r="J65" s="6">
        <v>3441</v>
      </c>
      <c r="K65" s="6">
        <f>COUNTIF(review1_code,J65)</f>
        <v>3</v>
      </c>
      <c r="L65" s="74" t="str">
        <f>VLOOKUP(J65,review1,10,FALSE)</f>
        <v>DucDNM2</v>
      </c>
      <c r="M65" s="74" t="str">
        <f>VLOOKUP(J65,review1,11,FALSE)</f>
        <v>VanTTN2</v>
      </c>
      <c r="N65" s="47" t="b">
        <f>OR(EXACT(L65,H65),EXACT(L65,I65),EXACT(M65,H65),EXACT(M65,I65))</f>
        <v>0</v>
      </c>
      <c r="O65" s="52">
        <f>VLOOKUP(J65,review1,7,FALSE)</f>
        <v>46044</v>
      </c>
      <c r="P65" s="52" t="str">
        <f>VLOOKUP(J65,review1,8,FALSE)</f>
        <v>Thu</v>
      </c>
      <c r="Q65" s="47">
        <f>INT(MOD(J65/10,10))</f>
        <v>4</v>
      </c>
      <c r="R65" s="47" t="str">
        <f>VLOOKUP(J65,review1,9,FALSE)</f>
        <v>LB21 (Thư viên Campus)</v>
      </c>
      <c r="S65" s="47">
        <f>J65+4000</f>
        <v>7441</v>
      </c>
      <c r="T65" s="6">
        <v>7441</v>
      </c>
      <c r="U65" s="6">
        <f>COUNTIF(review2_code,T65)</f>
        <v>3</v>
      </c>
      <c r="V65" s="4" t="str">
        <f>VLOOKUP(T65,review2,10,FALSE)</f>
        <v>DucDNM2</v>
      </c>
      <c r="W65" s="4" t="str">
        <f>VLOOKUP(T65,review2,11,FALSE)</f>
        <v>VanTTN2</v>
      </c>
      <c r="X65" s="4" t="b">
        <f>OR(EXACT(V65,H65),EXACT(V65,I65),EXACT(W65,H65),EXACT(W65,I65))</f>
        <v>0</v>
      </c>
      <c r="Y65" s="53">
        <f>VLOOKUP(T65,review2,7,FALSE)</f>
        <v>46085</v>
      </c>
      <c r="Z65" s="53" t="str">
        <f>VLOOKUP(T65,review2,8,FALSE)</f>
        <v>Wed</v>
      </c>
      <c r="AA65" s="47">
        <f>INT(MOD(T65/10,10))</f>
        <v>4</v>
      </c>
      <c r="AB65" s="47" t="e">
        <f>VLOOKUP(J65,review2,9,FALSE)</f>
        <v>#N/A</v>
      </c>
      <c r="AC65" s="47"/>
      <c r="AD65" s="6">
        <v>14232</v>
      </c>
      <c r="AE65" s="6">
        <f>COUNTIF(review3_code,AD65)</f>
        <v>3</v>
      </c>
      <c r="AF65" s="54" t="str">
        <f>VLOOKUP(AD65,review3,10,FALSE)</f>
        <v>HuongNTC2</v>
      </c>
      <c r="AG65" s="54" t="str">
        <f>VLOOKUP(AD65,review3,11,FALSE)</f>
        <v>SangNM18</v>
      </c>
      <c r="AH65" s="47" t="b">
        <f>OR(EXACT(AF65,H65),EXACT(AF65,I65),EXACT(AG65,H65),EXACT(AG65,I65))</f>
        <v>0</v>
      </c>
      <c r="AI65" s="47" t="b">
        <f>OR(EXACT(AF65,V65),EXACT(AF65,W65),EXACT(AG65,V65),EXACT(AG65,W65))</f>
        <v>0</v>
      </c>
      <c r="AJ65" s="53">
        <f>VLOOKUP(AD65,review3,7,FALSE)</f>
        <v>46132</v>
      </c>
      <c r="AK65" s="53" t="str">
        <f>VLOOKUP(AD65,review3,8,FALSE)</f>
        <v>Mon</v>
      </c>
      <c r="AL65" s="47">
        <f>VLOOKUP(AD65,review3,4,FALSE)</f>
        <v>3</v>
      </c>
      <c r="AM65" s="47" t="str">
        <f>VLOOKUP(AD65,review3,9,FALSE)</f>
        <v>NVH.414</v>
      </c>
      <c r="AN65" s="55"/>
      <c r="AO65" t="s">
        <v>688</v>
      </c>
      <c r="AP65" s="56">
        <v>101</v>
      </c>
      <c r="AQ65" s="47" t="str">
        <f>VLOOKUP(AP65,defense1_list,7,FALSE)</f>
        <v>HuongNTC2_HungLD5_SangNM18_VanTTN2_AnNDH2</v>
      </c>
      <c r="AR65" s="57">
        <f>COUNTIF(defense1_forgroup_code,AP65)</f>
        <v>8</v>
      </c>
      <c r="AS65" s="4" t="b">
        <f>ISNUMBER(SEARCH(H65,AQ65))</f>
        <v>0</v>
      </c>
      <c r="AT65" s="4" t="b">
        <f>AND(NOT(ISBLANK(I65)),(ISNUMBER(SEARCH(I65,AQ65))))</f>
        <v>0</v>
      </c>
      <c r="AU65" s="4" t="b">
        <f>(IFERROR(SEARCH(AF65,AQ65),0)+IFERROR(SEARCH(AG65,AQ65),0))&gt;0</f>
        <v>1</v>
      </c>
      <c r="AV65" s="47"/>
      <c r="AW65" s="47"/>
      <c r="AX65" s="47"/>
      <c r="AY65" s="47"/>
      <c r="AZ65" s="128"/>
      <c r="BA65" s="47" t="e">
        <f>VLOOKUP(AZ65,defense2_list,7,FALSE)</f>
        <v>#N/A</v>
      </c>
      <c r="BB65" s="57">
        <f>COUNTIF(defense2_forgroup_code,AZ65)</f>
        <v>0</v>
      </c>
      <c r="BC65" s="4" t="b">
        <f>ISNUMBER(SEARCH(H65,BA65))</f>
        <v>0</v>
      </c>
      <c r="BD65" s="4" t="b">
        <f>AND(NOT(ISBLANK(I65)),(ISNUMBER(SEARCH(I65,AZ65))))</f>
        <v>0</v>
      </c>
      <c r="BE65" s="4"/>
      <c r="BF65" s="47"/>
      <c r="BG65" s="47"/>
    </row>
    <row r="66" spans="1:59" ht="15" thickBot="1" x14ac:dyDescent="0.4">
      <c r="A66" s="47">
        <v>98</v>
      </c>
      <c r="B66" s="48"/>
      <c r="C66" s="49" t="s">
        <v>505</v>
      </c>
      <c r="D66" s="58" t="s">
        <v>506</v>
      </c>
      <c r="E66" s="14" t="s">
        <v>507</v>
      </c>
      <c r="F66" s="14" t="s">
        <v>508</v>
      </c>
      <c r="G66" s="49" t="s">
        <v>83</v>
      </c>
      <c r="H66" s="50" t="s">
        <v>13</v>
      </c>
      <c r="I66" s="51"/>
      <c r="J66" s="6">
        <v>3451</v>
      </c>
      <c r="K66" s="6">
        <f>COUNTIF(review1_code,J66)</f>
        <v>3</v>
      </c>
      <c r="L66" s="4" t="str">
        <f>VLOOKUP(J66,review1,10,FALSE)</f>
        <v>PhuongLHK</v>
      </c>
      <c r="M66" s="4" t="str">
        <f>VLOOKUP(J66,review1,11,FALSE)</f>
        <v>MinhTTH5</v>
      </c>
      <c r="N66" s="47" t="b">
        <f>OR(EXACT(L66,H66),EXACT(L66,I66),EXACT(M66,H66),EXACT(M66,I66))</f>
        <v>0</v>
      </c>
      <c r="O66" s="52">
        <f>VLOOKUP(J66,review1,7,FALSE)</f>
        <v>46044</v>
      </c>
      <c r="P66" s="52" t="str">
        <f>VLOOKUP(J66,review1,8,FALSE)</f>
        <v>Thu</v>
      </c>
      <c r="Q66" s="47">
        <f>INT(MOD(J66/10,10))</f>
        <v>5</v>
      </c>
      <c r="R66" s="47" t="str">
        <f>VLOOKUP(J66,review1,9,FALSE)</f>
        <v>NVH G.01</v>
      </c>
      <c r="S66" s="47">
        <f>J66+4000</f>
        <v>7451</v>
      </c>
      <c r="T66" s="6">
        <v>7451</v>
      </c>
      <c r="U66" s="6">
        <f>COUNTIF(review2_code,T66)</f>
        <v>3</v>
      </c>
      <c r="V66" s="4" t="str">
        <f>VLOOKUP(T66,review2,10,FALSE)</f>
        <v>PhuongLHK</v>
      </c>
      <c r="W66" s="4" t="str">
        <f>VLOOKUP(T66,review2,11,FALSE)</f>
        <v>MinhTTH5</v>
      </c>
      <c r="X66" s="4" t="b">
        <f>OR(EXACT(V66,H66),EXACT(V66,I66),EXACT(W66,H66),EXACT(W66,I66))</f>
        <v>0</v>
      </c>
      <c r="Y66" s="53">
        <f>VLOOKUP(T66,review2,7,FALSE)</f>
        <v>46085</v>
      </c>
      <c r="Z66" s="53" t="str">
        <f>VLOOKUP(T66,review2,8,FALSE)</f>
        <v>Wed</v>
      </c>
      <c r="AA66" s="47">
        <f>INT(MOD(T66/10,10))</f>
        <v>5</v>
      </c>
      <c r="AB66" s="47" t="e">
        <f>VLOOKUP(J66,review2,9,FALSE)</f>
        <v>#N/A</v>
      </c>
      <c r="AC66" s="47"/>
      <c r="AD66" s="6">
        <v>14322</v>
      </c>
      <c r="AE66" s="6">
        <f>COUNTIF(review3_code,AD66)</f>
        <v>3</v>
      </c>
      <c r="AF66" s="54" t="str">
        <f>VLOOKUP(AD66,review3,10,FALSE)</f>
        <v>DucDNM2</v>
      </c>
      <c r="AG66" s="54" t="str">
        <f>VLOOKUP(AD66,review3,11,FALSE)</f>
        <v>VuLNS</v>
      </c>
      <c r="AH66" s="47" t="b">
        <f>OR(EXACT(AF66,H66),EXACT(AF66,I66),EXACT(AG66,H66),EXACT(AG66,I66))</f>
        <v>0</v>
      </c>
      <c r="AI66" s="47" t="b">
        <f>OR(EXACT(AF66,V66),EXACT(AF66,W66),EXACT(AG66,V66),EXACT(AG66,W66))</f>
        <v>0</v>
      </c>
      <c r="AJ66" s="53">
        <f>VLOOKUP(AD66,review3,7,FALSE)</f>
        <v>46133</v>
      </c>
      <c r="AK66" s="53" t="str">
        <f>VLOOKUP(AD66,review3,8,FALSE)</f>
        <v>Tue</v>
      </c>
      <c r="AL66" s="47">
        <f>VLOOKUP(AD66,review3,4,FALSE)</f>
        <v>2</v>
      </c>
      <c r="AM66" s="47" t="str">
        <f>VLOOKUP(AD66,review3,9,FALSE)</f>
        <v>NVH.301</v>
      </c>
      <c r="AN66" s="55"/>
      <c r="AO66" t="s">
        <v>688</v>
      </c>
      <c r="AP66" s="56">
        <v>403</v>
      </c>
      <c r="AQ66" s="47" t="str">
        <f>VLOOKUP(AP66,defense1_list,7,FALSE)</f>
        <v>SuTV_NgocTTM4_HoangNT20_LongT5_DucDNM2</v>
      </c>
      <c r="AR66" s="57">
        <f>COUNTIF(defense1_forgroup_code,AP66)</f>
        <v>7</v>
      </c>
      <c r="AS66" s="4" t="b">
        <f>ISNUMBER(SEARCH(H66,AQ66))</f>
        <v>0</v>
      </c>
      <c r="AT66" s="4" t="b">
        <f>AND(NOT(ISBLANK(I66)),(ISNUMBER(SEARCH(I66,AQ66))))</f>
        <v>0</v>
      </c>
      <c r="AU66" s="4" t="b">
        <f>(IFERROR(SEARCH(AF66,AQ66),0)+IFERROR(SEARCH(AG66,AQ66),0))&gt;0</f>
        <v>1</v>
      </c>
      <c r="AV66" s="47"/>
      <c r="AW66" s="47"/>
      <c r="AX66" s="47"/>
      <c r="AY66" s="47"/>
      <c r="AZ66" s="128"/>
      <c r="BA66" s="47" t="e">
        <f>VLOOKUP(AZ66,defense2_list,7,FALSE)</f>
        <v>#N/A</v>
      </c>
      <c r="BB66" s="57">
        <f>COUNTIF(defense2_forgroup_code,AZ66)</f>
        <v>0</v>
      </c>
      <c r="BC66" s="4" t="b">
        <f>ISNUMBER(SEARCH(H66,BA66))</f>
        <v>0</v>
      </c>
      <c r="BD66" s="4" t="b">
        <f>AND(NOT(ISBLANK(I66)),(ISNUMBER(SEARCH(I66,AZ66))))</f>
        <v>0</v>
      </c>
      <c r="BE66" s="4"/>
      <c r="BF66" s="47"/>
      <c r="BG66" s="47"/>
    </row>
    <row r="67" spans="1:59" ht="15" thickBot="1" x14ac:dyDescent="0.4">
      <c r="A67" s="47">
        <v>83</v>
      </c>
      <c r="B67" s="48"/>
      <c r="C67" s="49" t="s">
        <v>509</v>
      </c>
      <c r="D67" s="58" t="s">
        <v>510</v>
      </c>
      <c r="E67" s="14" t="s">
        <v>511</v>
      </c>
      <c r="F67" s="14" t="s">
        <v>512</v>
      </c>
      <c r="G67" s="49" t="s">
        <v>82</v>
      </c>
      <c r="H67" s="50" t="s">
        <v>14</v>
      </c>
      <c r="I67" s="51"/>
      <c r="J67" s="6">
        <v>4542</v>
      </c>
      <c r="K67" s="6">
        <f>COUNTIF(review1_code,J67)</f>
        <v>3</v>
      </c>
      <c r="L67" s="4" t="str">
        <f>VLOOKUP(J67,review1,10,FALSE)</f>
        <v>LamNN15</v>
      </c>
      <c r="M67" s="4" t="str">
        <f>VLOOKUP(J67,review1,11,FALSE)</f>
        <v>TriPT9</v>
      </c>
      <c r="N67" s="47" t="b">
        <f>OR(EXACT(L67,H67),EXACT(L67,I67),EXACT(M67,H67),EXACT(M67,I67))</f>
        <v>0</v>
      </c>
      <c r="O67" s="52">
        <f>VLOOKUP(J67,review1,7,FALSE)</f>
        <v>46052</v>
      </c>
      <c r="P67" s="52" t="str">
        <f>VLOOKUP(J67,review1,8,FALSE)</f>
        <v>Fri</v>
      </c>
      <c r="Q67" s="47">
        <f>INT(MOD(J67/10,10))</f>
        <v>4</v>
      </c>
      <c r="R67" s="47" t="str">
        <f>VLOOKUP(J67,review1,9,FALSE)</f>
        <v>NVH G.01</v>
      </c>
      <c r="S67" s="47">
        <f>J67+4000</f>
        <v>8542</v>
      </c>
      <c r="T67" s="6">
        <v>8542</v>
      </c>
      <c r="U67" s="6">
        <f>COUNTIF(review2_code,T67)</f>
        <v>3</v>
      </c>
      <c r="V67" s="4" t="str">
        <f>VLOOKUP(T67,review2,10,FALSE)</f>
        <v>LamNN15</v>
      </c>
      <c r="W67" s="4" t="str">
        <f>VLOOKUP(T67,review2,11,FALSE)</f>
        <v>TriPT9</v>
      </c>
      <c r="X67" s="4" t="b">
        <f>OR(EXACT(V67,H67),EXACT(V67,I67),EXACT(W67,H67),EXACT(W67,I67))</f>
        <v>0</v>
      </c>
      <c r="Y67" s="53">
        <f>VLOOKUP(T67,review2,7,FALSE)</f>
        <v>46093</v>
      </c>
      <c r="Z67" s="53" t="str">
        <f>VLOOKUP(T67,review2,8,FALSE)</f>
        <v>Thu</v>
      </c>
      <c r="AA67" s="47">
        <f>INT(MOD(T67/10,10))</f>
        <v>4</v>
      </c>
      <c r="AB67" s="47" t="e">
        <f>VLOOKUP(J67,review2,9,FALSE)</f>
        <v>#N/A</v>
      </c>
      <c r="AC67" s="47"/>
      <c r="AD67" s="6">
        <v>14621</v>
      </c>
      <c r="AE67" s="6">
        <f>COUNTIF(review3_code,AD67)</f>
        <v>3</v>
      </c>
      <c r="AF67" s="54" t="str">
        <f>VLOOKUP(AD67,review3,10,FALSE)</f>
        <v>HuongNTC2</v>
      </c>
      <c r="AG67" s="54" t="str">
        <f>VLOOKUP(AD67,review3,11,FALSE)</f>
        <v>VanTTN2</v>
      </c>
      <c r="AH67" s="47" t="b">
        <f>OR(EXACT(AF67,H67),EXACT(AF67,I67),EXACT(AG67,H67),EXACT(AG67,I67))</f>
        <v>0</v>
      </c>
      <c r="AI67" s="47" t="b">
        <f>OR(EXACT(AF67,V67),EXACT(AF67,W67),EXACT(AG67,V67),EXACT(AG67,W67))</f>
        <v>0</v>
      </c>
      <c r="AJ67" s="53">
        <f>VLOOKUP(AD67,review3,7,FALSE)</f>
        <v>46136</v>
      </c>
      <c r="AK67" s="53" t="str">
        <f>VLOOKUP(AD67,review3,8,FALSE)</f>
        <v>Fri</v>
      </c>
      <c r="AL67" s="47">
        <f>VLOOKUP(AD67,review3,4,FALSE)</f>
        <v>2</v>
      </c>
      <c r="AM67" s="47" t="str">
        <f>VLOOKUP(AD67,review3,9,FALSE)</f>
        <v>NVH.414</v>
      </c>
      <c r="AN67" s="55"/>
      <c r="AO67" t="s">
        <v>688</v>
      </c>
      <c r="AP67" s="56">
        <v>201</v>
      </c>
      <c r="AQ67" s="47" t="str">
        <f>VLOOKUP(AP67,defense1_list,7,FALSE)</f>
        <v>HuongNTC2_QuynhTNN4_KiemHH_NguHCV_TamPM</v>
      </c>
      <c r="AR67" s="57">
        <f>COUNTIF(defense1_forgroup_code,AP67)</f>
        <v>7</v>
      </c>
      <c r="AS67" s="4" t="b">
        <f>ISNUMBER(SEARCH(H67,AQ67))</f>
        <v>0</v>
      </c>
      <c r="AT67" s="4" t="b">
        <f>AND(NOT(ISBLANK(I67)),(ISNUMBER(SEARCH(I67,AQ67))))</f>
        <v>0</v>
      </c>
      <c r="AU67" s="4" t="b">
        <f>(IFERROR(SEARCH(AF67,AQ67),0)+IFERROR(SEARCH(AG67,AQ67),0))&gt;0</f>
        <v>1</v>
      </c>
      <c r="AV67" s="47"/>
      <c r="AW67" s="47"/>
      <c r="AX67" s="47"/>
      <c r="AY67" s="47"/>
      <c r="AZ67" s="128"/>
      <c r="BA67" s="47" t="e">
        <f>VLOOKUP(AZ67,defense2_list,7,FALSE)</f>
        <v>#N/A</v>
      </c>
      <c r="BB67" s="57">
        <f>COUNTIF(defense2_forgroup_code,AZ67)</f>
        <v>0</v>
      </c>
      <c r="BC67" s="4" t="b">
        <f>ISNUMBER(SEARCH(H67,BA67))</f>
        <v>0</v>
      </c>
      <c r="BD67" s="4" t="b">
        <f>AND(NOT(ISBLANK(I67)),(ISNUMBER(SEARCH(I67,AZ67))))</f>
        <v>0</v>
      </c>
      <c r="BE67" s="4"/>
      <c r="BF67" s="47"/>
      <c r="BG67" s="47"/>
    </row>
    <row r="68" spans="1:59" ht="15" thickBot="1" x14ac:dyDescent="0.4">
      <c r="A68" s="47">
        <v>103</v>
      </c>
      <c r="B68" s="48"/>
      <c r="C68" s="49" t="s">
        <v>513</v>
      </c>
      <c r="D68" s="58" t="s">
        <v>514</v>
      </c>
      <c r="E68" s="14" t="s">
        <v>515</v>
      </c>
      <c r="F68" s="14" t="s">
        <v>516</v>
      </c>
      <c r="G68" s="49" t="s">
        <v>517</v>
      </c>
      <c r="H68" s="50" t="s">
        <v>32</v>
      </c>
      <c r="I68" s="51"/>
      <c r="J68" s="6">
        <v>3452</v>
      </c>
      <c r="K68" s="6">
        <f>COUNTIF(review1_code,J68)</f>
        <v>3</v>
      </c>
      <c r="L68" s="4" t="str">
        <f>VLOOKUP(J68,review1,10,FALSE)</f>
        <v>TriPT9</v>
      </c>
      <c r="M68" s="4" t="str">
        <f>VLOOKUP(J68,review1,11,FALSE)</f>
        <v>VuLNS</v>
      </c>
      <c r="N68" s="47" t="b">
        <f>OR(EXACT(L68,H68),EXACT(L68,I68),EXACT(M68,H68),EXACT(M68,I68))</f>
        <v>0</v>
      </c>
      <c r="O68" s="52">
        <f>VLOOKUP(J68,review1,7,FALSE)</f>
        <v>46044</v>
      </c>
      <c r="P68" s="52" t="str">
        <f>VLOOKUP(J68,review1,8,FALSE)</f>
        <v>Thu</v>
      </c>
      <c r="Q68" s="47">
        <f>INT(MOD(J68/10,10))</f>
        <v>5</v>
      </c>
      <c r="R68" s="47" t="str">
        <f>VLOOKUP(J68,review1,9,FALSE)</f>
        <v>NVH G.02</v>
      </c>
      <c r="S68" s="47">
        <f>J68+4000</f>
        <v>7452</v>
      </c>
      <c r="T68" s="6">
        <v>7452</v>
      </c>
      <c r="U68" s="6">
        <f>COUNTIF(review2_code,T68)</f>
        <v>3</v>
      </c>
      <c r="V68" s="4" t="str">
        <f>VLOOKUP(T68,review2,10,FALSE)</f>
        <v>TriPT9</v>
      </c>
      <c r="W68" s="4" t="str">
        <f>VLOOKUP(T68,review2,11,FALSE)</f>
        <v>VuLNS</v>
      </c>
      <c r="X68" s="4" t="b">
        <f>OR(EXACT(V68,H68),EXACT(V68,I68),EXACT(W68,H68),EXACT(W68,I68))</f>
        <v>0</v>
      </c>
      <c r="Y68" s="53">
        <f>VLOOKUP(T68,review2,7,FALSE)</f>
        <v>46085</v>
      </c>
      <c r="Z68" s="53" t="str">
        <f>VLOOKUP(T68,review2,8,FALSE)</f>
        <v>Wed</v>
      </c>
      <c r="AA68" s="47">
        <f>INT(MOD(T68/10,10))</f>
        <v>5</v>
      </c>
      <c r="AB68" s="47" t="e">
        <f>VLOOKUP(J68,review2,9,FALSE)</f>
        <v>#N/A</v>
      </c>
      <c r="AC68" s="47"/>
      <c r="AD68" s="6">
        <v>14521</v>
      </c>
      <c r="AE68" s="6">
        <f>COUNTIF(review3_code,AD68)</f>
        <v>3</v>
      </c>
      <c r="AF68" s="54" t="str">
        <f>VLOOKUP(AD68,review3,10,FALSE)</f>
        <v>HuongNTC2</v>
      </c>
      <c r="AG68" s="54" t="str">
        <f>VLOOKUP(AD68,review3,11,FALSE)</f>
        <v>DucDNM2</v>
      </c>
      <c r="AH68" s="47" t="b">
        <f>OR(EXACT(AF68,H68),EXACT(AF68,I68),EXACT(AG68,H68),EXACT(AG68,I68))</f>
        <v>0</v>
      </c>
      <c r="AI68" s="47" t="b">
        <f>OR(EXACT(AF68,V68),EXACT(AF68,W68),EXACT(AG68,V68),EXACT(AG68,W68))</f>
        <v>0</v>
      </c>
      <c r="AJ68" s="53">
        <f>VLOOKUP(AD68,review3,7,FALSE)</f>
        <v>46135</v>
      </c>
      <c r="AK68" s="53" t="str">
        <f>VLOOKUP(AD68,review3,8,FALSE)</f>
        <v>Thu</v>
      </c>
      <c r="AL68" s="47">
        <f>VLOOKUP(AD68,review3,4,FALSE)</f>
        <v>2</v>
      </c>
      <c r="AM68" s="47" t="str">
        <f>VLOOKUP(AD68,review3,9,FALSE)</f>
        <v>NVH.414</v>
      </c>
      <c r="AN68" s="55"/>
      <c r="AO68" t="s">
        <v>688</v>
      </c>
      <c r="AP68" s="56">
        <v>102</v>
      </c>
      <c r="AQ68" s="47" t="str">
        <f>VLOOKUP(AP68,defense1_list,7,FALSE)</f>
        <v>DucDNM2_NgocTTM4_HoangNT20_KiemHH_LamNN15</v>
      </c>
      <c r="AR68" s="57">
        <f>COUNTIF(defense1_forgroup_code,AP68)</f>
        <v>7</v>
      </c>
      <c r="AS68" s="4" t="b">
        <f>ISNUMBER(SEARCH(H68,AQ68))</f>
        <v>0</v>
      </c>
      <c r="AT68" s="4" t="b">
        <f>AND(NOT(ISBLANK(I68)),(ISNUMBER(SEARCH(I68,AQ68))))</f>
        <v>0</v>
      </c>
      <c r="AU68" s="4" t="b">
        <f>(IFERROR(SEARCH(AF68,AQ68),0)+IFERROR(SEARCH(AG68,AQ68),0))&gt;0</f>
        <v>1</v>
      </c>
      <c r="AV68" s="47"/>
      <c r="AW68" s="47"/>
      <c r="AX68" s="47"/>
      <c r="AY68" s="47"/>
      <c r="AZ68" s="128"/>
      <c r="BA68" s="47" t="e">
        <f>VLOOKUP(AZ68,defense2_list,7,FALSE)</f>
        <v>#N/A</v>
      </c>
      <c r="BB68" s="57">
        <f>COUNTIF(defense2_forgroup_code,AZ68)</f>
        <v>0</v>
      </c>
      <c r="BC68" s="4" t="b">
        <f>ISNUMBER(SEARCH(H68,BA68))</f>
        <v>0</v>
      </c>
      <c r="BD68" s="4" t="b">
        <f>AND(NOT(ISBLANK(I68)),(ISNUMBER(SEARCH(I68,AZ68))))</f>
        <v>0</v>
      </c>
      <c r="BE68" s="4"/>
      <c r="BF68" s="47"/>
      <c r="BG68" s="47"/>
    </row>
    <row r="69" spans="1:59" ht="15" thickBot="1" x14ac:dyDescent="0.4">
      <c r="A69" s="47">
        <v>42</v>
      </c>
      <c r="B69" s="48"/>
      <c r="C69" s="49" t="s">
        <v>518</v>
      </c>
      <c r="D69" s="58" t="s">
        <v>519</v>
      </c>
      <c r="E69" s="14" t="s">
        <v>520</v>
      </c>
      <c r="F69" s="14" t="s">
        <v>521</v>
      </c>
      <c r="G69" s="49" t="s">
        <v>83</v>
      </c>
      <c r="H69" s="50" t="s">
        <v>13</v>
      </c>
      <c r="I69" s="51"/>
      <c r="J69" s="6">
        <v>4212</v>
      </c>
      <c r="K69" s="6">
        <f>COUNTIF(review1_code,J69)</f>
        <v>3</v>
      </c>
      <c r="L69" s="4" t="str">
        <f>VLOOKUP(J69,review1,10,FALSE)</f>
        <v>TaiNT51</v>
      </c>
      <c r="M69" s="4" t="str">
        <f>VLOOKUP(J69,review1,11,FALSE)</f>
        <v>MinhTTH5</v>
      </c>
      <c r="N69" s="47" t="b">
        <f>OR(EXACT(L69,H69),EXACT(L69,I69),EXACT(M69,H69),EXACT(M69,I69))</f>
        <v>0</v>
      </c>
      <c r="O69" s="52">
        <f>VLOOKUP(J69,review1,7,FALSE)</f>
        <v>46049</v>
      </c>
      <c r="P69" s="52" t="str">
        <f>VLOOKUP(J69,review1,8,FALSE)</f>
        <v>Tue</v>
      </c>
      <c r="Q69" s="47">
        <f>INT(MOD(J69/10,10))</f>
        <v>1</v>
      </c>
      <c r="R69" s="47" t="str">
        <f>VLOOKUP(J69,review1,9,FALSE)</f>
        <v>NVH G.02</v>
      </c>
      <c r="S69" s="47">
        <f>J69+4000</f>
        <v>8212</v>
      </c>
      <c r="T69" s="6">
        <v>8212</v>
      </c>
      <c r="U69" s="6">
        <f>COUNTIF(review2_code,T69)</f>
        <v>3</v>
      </c>
      <c r="V69" s="4" t="str">
        <f>VLOOKUP(T69,review2,10,FALSE)</f>
        <v>TaiNT51</v>
      </c>
      <c r="W69" s="4" t="str">
        <f>VLOOKUP(T69,review2,11,FALSE)</f>
        <v>MinhTTH5</v>
      </c>
      <c r="X69" s="4" t="b">
        <f>OR(EXACT(V69,H69),EXACT(V69,I69),EXACT(W69,H69),EXACT(W69,I69))</f>
        <v>0</v>
      </c>
      <c r="Y69" s="53">
        <f>VLOOKUP(T69,review2,7,FALSE)</f>
        <v>46090</v>
      </c>
      <c r="Z69" s="53" t="str">
        <f>VLOOKUP(T69,review2,8,FALSE)</f>
        <v>Mon</v>
      </c>
      <c r="AA69" s="47">
        <f>INT(MOD(T69/10,10))</f>
        <v>1</v>
      </c>
      <c r="AB69" s="47" t="e">
        <f>VLOOKUP(J69,review2,9,FALSE)</f>
        <v>#N/A</v>
      </c>
      <c r="AC69" s="47"/>
      <c r="AD69" s="6">
        <v>14242</v>
      </c>
      <c r="AE69" s="6">
        <f>COUNTIF(review3_code,AD69)</f>
        <v>3</v>
      </c>
      <c r="AF69" s="54" t="str">
        <f>VLOOKUP(AD69,review3,10,FALSE)</f>
        <v>HuongNTC2</v>
      </c>
      <c r="AG69" s="54" t="str">
        <f>VLOOKUP(AD69,review3,11,FALSE)</f>
        <v>SangNM18</v>
      </c>
      <c r="AH69" s="47" t="b">
        <f>OR(EXACT(AF69,H69),EXACT(AF69,I69),EXACT(AG69,H69),EXACT(AG69,I69))</f>
        <v>0</v>
      </c>
      <c r="AI69" s="47" t="b">
        <f>OR(EXACT(AF69,V69),EXACT(AF69,W69),EXACT(AG69,V69),EXACT(AG69,W69))</f>
        <v>0</v>
      </c>
      <c r="AJ69" s="53">
        <f>VLOOKUP(AD69,review3,7,FALSE)</f>
        <v>46132</v>
      </c>
      <c r="AK69" s="53" t="str">
        <f>VLOOKUP(AD69,review3,8,FALSE)</f>
        <v>Mon</v>
      </c>
      <c r="AL69" s="47">
        <f>VLOOKUP(AD69,review3,4,FALSE)</f>
        <v>4</v>
      </c>
      <c r="AM69" s="47" t="str">
        <f>VLOOKUP(AD69,review3,9,FALSE)</f>
        <v>NVH.414</v>
      </c>
      <c r="AN69" s="55"/>
      <c r="AO69" t="s">
        <v>688</v>
      </c>
      <c r="AP69" s="56">
        <v>101</v>
      </c>
      <c r="AQ69" s="47" t="str">
        <f>VLOOKUP(AP69,defense1_list,7,FALSE)</f>
        <v>HuongNTC2_HungLD5_SangNM18_VanTTN2_AnNDH2</v>
      </c>
      <c r="AR69" s="57">
        <f>COUNTIF(defense1_forgroup_code,AP69)</f>
        <v>8</v>
      </c>
      <c r="AS69" s="4" t="b">
        <f>ISNUMBER(SEARCH(H69,AQ69))</f>
        <v>0</v>
      </c>
      <c r="AT69" s="4" t="b">
        <f>AND(NOT(ISBLANK(I69)),(ISNUMBER(SEARCH(I69,AQ69))))</f>
        <v>0</v>
      </c>
      <c r="AU69" s="4" t="b">
        <f>(IFERROR(SEARCH(AF69,AQ69),0)+IFERROR(SEARCH(AG69,AQ69),0))&gt;0</f>
        <v>1</v>
      </c>
      <c r="AV69" s="47"/>
      <c r="AW69" s="47"/>
      <c r="AX69" s="47"/>
      <c r="AY69" s="47"/>
      <c r="AZ69" s="128"/>
      <c r="BA69" s="47" t="e">
        <f>VLOOKUP(AZ69,defense2_list,7,FALSE)</f>
        <v>#N/A</v>
      </c>
      <c r="BB69" s="57">
        <f>COUNTIF(defense2_forgroup_code,AZ69)</f>
        <v>0</v>
      </c>
      <c r="BC69" s="4" t="b">
        <f>ISNUMBER(SEARCH(H69,BA69))</f>
        <v>0</v>
      </c>
      <c r="BD69" s="4" t="b">
        <f>AND(NOT(ISBLANK(I69)),(ISNUMBER(SEARCH(I69,AZ69))))</f>
        <v>0</v>
      </c>
      <c r="BE69" s="4"/>
      <c r="BF69" s="47"/>
      <c r="BG69" s="47"/>
    </row>
    <row r="70" spans="1:59" ht="15" thickBot="1" x14ac:dyDescent="0.4">
      <c r="A70" s="47">
        <v>117</v>
      </c>
      <c r="B70" s="48"/>
      <c r="C70" s="49" t="s">
        <v>522</v>
      </c>
      <c r="D70" s="58" t="s">
        <v>523</v>
      </c>
      <c r="E70" s="14" t="s">
        <v>524</v>
      </c>
      <c r="F70" s="14" t="s">
        <v>525</v>
      </c>
      <c r="G70" s="49" t="s">
        <v>526</v>
      </c>
      <c r="H70" s="50" t="s">
        <v>15</v>
      </c>
      <c r="I70" s="51"/>
      <c r="J70" s="6">
        <v>3521</v>
      </c>
      <c r="K70" s="6">
        <f>COUNTIF(review1_code,J70)</f>
        <v>2</v>
      </c>
      <c r="L70" s="4" t="str">
        <f>VLOOKUP(J70,review1,10,FALSE)</f>
        <v>HuongNTC2</v>
      </c>
      <c r="M70" s="4" t="str">
        <f>VLOOKUP(J70,review1,11,FALSE)</f>
        <v>PhuongLHK</v>
      </c>
      <c r="N70" s="47" t="b">
        <f>OR(EXACT(L70,H70),EXACT(L70,I70),EXACT(M70,H70),EXACT(M70,I70))</f>
        <v>0</v>
      </c>
      <c r="O70" s="52">
        <f>VLOOKUP(J70,review1,7,FALSE)</f>
        <v>46045</v>
      </c>
      <c r="P70" s="52" t="str">
        <f>VLOOKUP(J70,review1,8,FALSE)</f>
        <v>Fri</v>
      </c>
      <c r="Q70" s="47">
        <f>INT(MOD(J70/10,10))</f>
        <v>2</v>
      </c>
      <c r="R70" s="47" t="str">
        <f>VLOOKUP(J70,review1,9,FALSE)</f>
        <v>NVH G.04</v>
      </c>
      <c r="S70" s="47">
        <f>J70+4000</f>
        <v>7521</v>
      </c>
      <c r="T70" s="6">
        <v>7521</v>
      </c>
      <c r="U70" s="6">
        <f>COUNTIF(review2_code,T70)</f>
        <v>2</v>
      </c>
      <c r="V70" s="4" t="str">
        <f>VLOOKUP(T70,review2,10,FALSE)</f>
        <v>HuongNTC2</v>
      </c>
      <c r="W70" s="4" t="str">
        <f>VLOOKUP(T70,review2,11,FALSE)</f>
        <v>PhuongLHK</v>
      </c>
      <c r="X70" s="4" t="b">
        <f>OR(EXACT(V70,H70),EXACT(V70,I70),EXACT(W70,H70),EXACT(W70,I70))</f>
        <v>0</v>
      </c>
      <c r="Y70" s="53">
        <f>VLOOKUP(T70,review2,7,FALSE)</f>
        <v>46086</v>
      </c>
      <c r="Z70" s="53" t="str">
        <f>VLOOKUP(T70,review2,8,FALSE)</f>
        <v>Thu</v>
      </c>
      <c r="AA70" s="47">
        <f>INT(MOD(T70/10,10))</f>
        <v>2</v>
      </c>
      <c r="AB70" s="47" t="e">
        <f>VLOOKUP(J70,review2,9,FALSE)</f>
        <v>#N/A</v>
      </c>
      <c r="AC70" s="47"/>
      <c r="AD70" s="6">
        <v>14531</v>
      </c>
      <c r="AE70" s="6">
        <f>COUNTIF(review3_code,AD70)</f>
        <v>3</v>
      </c>
      <c r="AF70" s="54" t="str">
        <f>VLOOKUP(AD70,review3,10,FALSE)</f>
        <v>DucDNM2</v>
      </c>
      <c r="AG70" s="54" t="str">
        <f>VLOOKUP(AD70,review3,11,FALSE)</f>
        <v>LamNN15</v>
      </c>
      <c r="AH70" s="47" t="b">
        <f>OR(EXACT(AF70,H70),EXACT(AF70,I70),EXACT(AG70,H70),EXACT(AG70,I70))</f>
        <v>0</v>
      </c>
      <c r="AI70" s="47" t="b">
        <f>OR(EXACT(AF70,V70),EXACT(AF70,W70),EXACT(AG70,V70),EXACT(AG70,W70))</f>
        <v>0</v>
      </c>
      <c r="AJ70" s="53">
        <f>VLOOKUP(AD70,review3,7,FALSE)</f>
        <v>46135</v>
      </c>
      <c r="AK70" s="53" t="str">
        <f>VLOOKUP(AD70,review3,8,FALSE)</f>
        <v>Thu</v>
      </c>
      <c r="AL70" s="47">
        <f>VLOOKUP(AD70,review3,4,FALSE)</f>
        <v>3</v>
      </c>
      <c r="AM70" s="47" t="str">
        <f>VLOOKUP(AD70,review3,9,FALSE)</f>
        <v>NVH.306</v>
      </c>
      <c r="AN70" s="55"/>
      <c r="AO70" t="s">
        <v>688</v>
      </c>
      <c r="AP70" s="56">
        <v>203</v>
      </c>
      <c r="AQ70" s="47" t="str">
        <f>VLOOKUP(AP70,defense1_list,7,FALSE)</f>
        <v>DucDNM2_HungLD5_NhanDT35_TriPT9_LamNN15</v>
      </c>
      <c r="AR70" s="57">
        <f>COUNTIF(defense1_forgroup_code,AP70)</f>
        <v>7</v>
      </c>
      <c r="AS70" s="4" t="b">
        <f>ISNUMBER(SEARCH(H70,AQ70))</f>
        <v>0</v>
      </c>
      <c r="AT70" s="4" t="b">
        <f>AND(NOT(ISBLANK(I70)),(ISNUMBER(SEARCH(I70,AQ70))))</f>
        <v>0</v>
      </c>
      <c r="AU70" s="4" t="b">
        <f>(IFERROR(SEARCH(AF70,AQ70),0)+IFERROR(SEARCH(AG70,AQ70),0))&gt;0</f>
        <v>1</v>
      </c>
      <c r="AV70" s="47"/>
      <c r="AW70" s="47"/>
      <c r="AX70" s="47"/>
      <c r="AY70" s="47"/>
      <c r="AZ70" s="128"/>
      <c r="BA70" s="47" t="e">
        <f>VLOOKUP(AZ70,defense2_list,7,FALSE)</f>
        <v>#N/A</v>
      </c>
      <c r="BB70" s="57">
        <f>COUNTIF(defense2_forgroup_code,AZ70)</f>
        <v>0</v>
      </c>
      <c r="BC70" s="4" t="b">
        <f>ISNUMBER(SEARCH(H70,BA70))</f>
        <v>0</v>
      </c>
      <c r="BD70" s="4" t="b">
        <f>AND(NOT(ISBLANK(I70)),(ISNUMBER(SEARCH(I70,AZ70))))</f>
        <v>0</v>
      </c>
      <c r="BE70" s="4"/>
      <c r="BF70" s="47"/>
      <c r="BG70" s="47"/>
    </row>
    <row r="71" spans="1:59" ht="15" thickBot="1" x14ac:dyDescent="0.4">
      <c r="A71" s="47">
        <v>111</v>
      </c>
      <c r="B71" s="48"/>
      <c r="C71" s="49" t="s">
        <v>531</v>
      </c>
      <c r="D71" s="58" t="s">
        <v>532</v>
      </c>
      <c r="E71" s="14" t="s">
        <v>533</v>
      </c>
      <c r="F71" s="14" t="s">
        <v>534</v>
      </c>
      <c r="G71" s="49" t="s">
        <v>64</v>
      </c>
      <c r="H71" s="50" t="s">
        <v>24</v>
      </c>
      <c r="I71" s="51"/>
      <c r="J71" s="6">
        <v>3532</v>
      </c>
      <c r="K71" s="6">
        <f>COUNTIF(review1_code,J71)</f>
        <v>3</v>
      </c>
      <c r="L71" s="4" t="str">
        <f>VLOOKUP(J71,review1,10,FALSE)</f>
        <v>HuongNTC2</v>
      </c>
      <c r="M71" s="4" t="str">
        <f>VLOOKUP(J71,review1,11,FALSE)</f>
        <v>LongT5</v>
      </c>
      <c r="N71" s="47" t="b">
        <f>OR(EXACT(L71,H71),EXACT(L71,I71),EXACT(M71,H71),EXACT(M71,I71))</f>
        <v>0</v>
      </c>
      <c r="O71" s="52">
        <f>VLOOKUP(J71,review1,7,FALSE)</f>
        <v>46045</v>
      </c>
      <c r="P71" s="52" t="str">
        <f>VLOOKUP(J71,review1,8,FALSE)</f>
        <v>Fri</v>
      </c>
      <c r="Q71" s="47">
        <f>INT(MOD(J71/10,10))</f>
        <v>3</v>
      </c>
      <c r="R71" s="47" t="str">
        <f>VLOOKUP(J71,review1,9,FALSE)</f>
        <v>NVH G.04</v>
      </c>
      <c r="S71" s="47">
        <f>J71+4000</f>
        <v>7532</v>
      </c>
      <c r="T71" s="6">
        <v>7532</v>
      </c>
      <c r="U71" s="6">
        <f>COUNTIF(review2_code,T71)</f>
        <v>3</v>
      </c>
      <c r="V71" s="4" t="str">
        <f>VLOOKUP(T71,review2,10,FALSE)</f>
        <v>HuongNTC2</v>
      </c>
      <c r="W71" s="4" t="str">
        <f>VLOOKUP(T71,review2,11,FALSE)</f>
        <v>LongT5</v>
      </c>
      <c r="X71" s="4" t="b">
        <f>OR(EXACT(V71,H71),EXACT(V71,I71),EXACT(W71,H71),EXACT(W71,I71))</f>
        <v>0</v>
      </c>
      <c r="Y71" s="53">
        <f>VLOOKUP(T71,review2,7,FALSE)</f>
        <v>46086</v>
      </c>
      <c r="Z71" s="53" t="str">
        <f>VLOOKUP(T71,review2,8,FALSE)</f>
        <v>Thu</v>
      </c>
      <c r="AA71" s="47">
        <f>INT(MOD(T71/10,10))</f>
        <v>3</v>
      </c>
      <c r="AB71" s="47" t="e">
        <f>VLOOKUP(J71,review2,9,FALSE)</f>
        <v>#N/A</v>
      </c>
      <c r="AC71" s="47"/>
      <c r="AD71" s="6">
        <v>14441</v>
      </c>
      <c r="AE71" s="6">
        <f>COUNTIF(review3_code,AD71)</f>
        <v>3</v>
      </c>
      <c r="AF71" s="54" t="str">
        <f>VLOOKUP(AD71,review3,10,FALSE)</f>
        <v>TaiNT51</v>
      </c>
      <c r="AG71" s="54" t="str">
        <f>VLOOKUP(AD71,review3,11,FALSE)</f>
        <v>HoangNT20</v>
      </c>
      <c r="AH71" s="47" t="b">
        <f>OR(EXACT(AF71,H71),EXACT(AF71,I71),EXACT(AG71,H71),EXACT(AG71,I71))</f>
        <v>0</v>
      </c>
      <c r="AI71" s="47" t="b">
        <f>OR(EXACT(AF71,V71),EXACT(AF71,W71),EXACT(AG71,V71),EXACT(AG71,W71))</f>
        <v>0</v>
      </c>
      <c r="AJ71" s="53">
        <f>VLOOKUP(AD71,review3,7,FALSE)</f>
        <v>46134</v>
      </c>
      <c r="AK71" s="53" t="str">
        <f>VLOOKUP(AD71,review3,8,FALSE)</f>
        <v>Wed</v>
      </c>
      <c r="AL71" s="47">
        <f>VLOOKUP(AD71,review3,4,FALSE)</f>
        <v>4</v>
      </c>
      <c r="AM71" s="47" t="str">
        <f>VLOOKUP(AD71,review3,9,FALSE)</f>
        <v>NVH.415</v>
      </c>
      <c r="AN71" s="55"/>
      <c r="AO71" t="s">
        <v>688</v>
      </c>
      <c r="AP71" s="56">
        <v>303</v>
      </c>
      <c r="AQ71" s="47" t="str">
        <f>VLOOKUP(AP71,defense1_list,7,FALSE)</f>
        <v>DucDNM2_NgocTT4_HoangNT20_TriPT9_LongT5</v>
      </c>
      <c r="AR71" s="57">
        <f>COUNTIF(defense1_forgroup_code,AP71)</f>
        <v>7</v>
      </c>
      <c r="AS71" s="4" t="b">
        <f>ISNUMBER(SEARCH(H71,AQ71))</f>
        <v>0</v>
      </c>
      <c r="AT71" s="4" t="b">
        <f>AND(NOT(ISBLANK(I71)),(ISNUMBER(SEARCH(I71,AQ71))))</f>
        <v>0</v>
      </c>
      <c r="AU71" s="4" t="b">
        <f>(IFERROR(SEARCH(AF71,AQ71),0)+IFERROR(SEARCH(AG71,AQ71),0))&gt;0</f>
        <v>1</v>
      </c>
      <c r="AV71" s="47"/>
      <c r="AW71" s="47"/>
      <c r="AX71" s="47"/>
      <c r="AY71" s="47"/>
      <c r="AZ71" s="128"/>
      <c r="BA71" s="47" t="e">
        <f>VLOOKUP(AZ71,defense2_list,7,FALSE)</f>
        <v>#N/A</v>
      </c>
      <c r="BB71" s="57">
        <f>COUNTIF(defense2_forgroup_code,AZ71)</f>
        <v>0</v>
      </c>
      <c r="BC71" s="4" t="b">
        <f>ISNUMBER(SEARCH(H71,BA71))</f>
        <v>0</v>
      </c>
      <c r="BD71" s="4" t="b">
        <f>AND(NOT(ISBLANK(I71)),(ISNUMBER(SEARCH(I71,AZ71))))</f>
        <v>0</v>
      </c>
      <c r="BE71" s="4"/>
      <c r="BF71" s="47"/>
      <c r="BG71" s="47"/>
    </row>
    <row r="72" spans="1:59" ht="15" thickBot="1" x14ac:dyDescent="0.4">
      <c r="A72" s="47">
        <v>74</v>
      </c>
      <c r="B72" s="48"/>
      <c r="C72" s="49" t="s">
        <v>535</v>
      </c>
      <c r="D72" s="58" t="s">
        <v>536</v>
      </c>
      <c r="E72" s="14" t="s">
        <v>537</v>
      </c>
      <c r="F72" s="14" t="s">
        <v>538</v>
      </c>
      <c r="G72" s="49" t="s">
        <v>539</v>
      </c>
      <c r="H72" s="50" t="s">
        <v>16</v>
      </c>
      <c r="I72" s="51"/>
      <c r="J72" s="6">
        <v>4524</v>
      </c>
      <c r="K72" s="6">
        <f>COUNTIF(review1_code,J72)</f>
        <v>3</v>
      </c>
      <c r="L72" s="4" t="str">
        <f>VLOOKUP(J72,review1,10,FALSE)</f>
        <v>PhuongLHK</v>
      </c>
      <c r="M72" s="4" t="str">
        <f>VLOOKUP(J72,review1,11,FALSE)</f>
        <v>SangNM18</v>
      </c>
      <c r="N72" s="47" t="b">
        <f>OR(EXACT(L72,H72),EXACT(L72,I72),EXACT(M72,H72),EXACT(M72,I72))</f>
        <v>0</v>
      </c>
      <c r="O72" s="52">
        <f>VLOOKUP(J72,review1,7,FALSE)</f>
        <v>46052</v>
      </c>
      <c r="P72" s="52" t="str">
        <f>VLOOKUP(J72,review1,8,FALSE)</f>
        <v>Fri</v>
      </c>
      <c r="Q72" s="47">
        <f>INT(MOD(J72/10,10))</f>
        <v>2</v>
      </c>
      <c r="R72" s="47" t="str">
        <f>VLOOKUP(J72,review1,9,FALSE)</f>
        <v>NVH G.01</v>
      </c>
      <c r="S72" s="47">
        <f>J72+4000</f>
        <v>8524</v>
      </c>
      <c r="T72" s="6">
        <v>8524</v>
      </c>
      <c r="U72" s="6">
        <f>COUNTIF(review2_code,T72)</f>
        <v>3</v>
      </c>
      <c r="V72" s="4" t="str">
        <f>VLOOKUP(T72,review2,10,FALSE)</f>
        <v>PhuongLHK</v>
      </c>
      <c r="W72" s="4" t="str">
        <f>VLOOKUP(T72,review2,11,FALSE)</f>
        <v>SangNM18</v>
      </c>
      <c r="X72" s="4" t="b">
        <f>OR(EXACT(V72,H72),EXACT(V72,I72),EXACT(W72,H72),EXACT(W72,I72))</f>
        <v>0</v>
      </c>
      <c r="Y72" s="53">
        <f>VLOOKUP(T72,review2,7,FALSE)</f>
        <v>46093</v>
      </c>
      <c r="Z72" s="53" t="str">
        <f>VLOOKUP(T72,review2,8,FALSE)</f>
        <v>Thu</v>
      </c>
      <c r="AA72" s="47">
        <f>INT(MOD(T72/10,10))</f>
        <v>2</v>
      </c>
      <c r="AB72" s="47" t="e">
        <f>VLOOKUP(J72,review2,9,FALSE)</f>
        <v>#N/A</v>
      </c>
      <c r="AC72" s="47"/>
      <c r="AD72" s="6">
        <v>14612</v>
      </c>
      <c r="AE72" s="6">
        <f>COUNTIF(review3_code,AD72)</f>
        <v>3</v>
      </c>
      <c r="AF72" s="54" t="str">
        <f>VLOOKUP(AD72,review3,10,FALSE)</f>
        <v>DucDNM2</v>
      </c>
      <c r="AG72" s="54" t="str">
        <f>VLOOKUP(AD72,review3,11,FALSE)</f>
        <v>MinhTTH5</v>
      </c>
      <c r="AH72" s="47" t="b">
        <f>OR(EXACT(AF72,H72),EXACT(AF72,I72),EXACT(AG72,H72),EXACT(AG72,I72))</f>
        <v>0</v>
      </c>
      <c r="AI72" s="47" t="b">
        <f>OR(EXACT(AF72,V72),EXACT(AF72,W72),EXACT(AG72,V72),EXACT(AG72,W72))</f>
        <v>0</v>
      </c>
      <c r="AJ72" s="53">
        <f>VLOOKUP(AD72,review3,7,FALSE)</f>
        <v>46136</v>
      </c>
      <c r="AK72" s="53" t="str">
        <f>VLOOKUP(AD72,review3,8,FALSE)</f>
        <v>Fri</v>
      </c>
      <c r="AL72" s="47">
        <f>VLOOKUP(AD72,review3,4,FALSE)</f>
        <v>1</v>
      </c>
      <c r="AM72" s="47" t="str">
        <f>VLOOKUP(AD72,review3,9,FALSE)</f>
        <v>NVH.301</v>
      </c>
      <c r="AN72" s="55"/>
      <c r="AO72" t="s">
        <v>688</v>
      </c>
      <c r="AP72" s="56">
        <v>403</v>
      </c>
      <c r="AQ72" s="47" t="str">
        <f>VLOOKUP(AP72,defense1_list,7,FALSE)</f>
        <v>SuTV_NgocTTM4_HoangNT20_LongT5_DucDNM2</v>
      </c>
      <c r="AR72" s="57">
        <f>COUNTIF(defense1_forgroup_code,AP72)</f>
        <v>7</v>
      </c>
      <c r="AS72" s="4" t="b">
        <f>ISNUMBER(SEARCH(H72,AQ72))</f>
        <v>0</v>
      </c>
      <c r="AT72" s="4" t="b">
        <f>AND(NOT(ISBLANK(I72)),(ISNUMBER(SEARCH(I72,AQ72))))</f>
        <v>0</v>
      </c>
      <c r="AU72" s="4" t="b">
        <f>(IFERROR(SEARCH(AF72,AQ72),0)+IFERROR(SEARCH(AG72,AQ72),0))&gt;0</f>
        <v>1</v>
      </c>
      <c r="AV72" s="47"/>
      <c r="AW72" s="47"/>
      <c r="AX72" s="47"/>
      <c r="AY72" s="47"/>
      <c r="AZ72" s="128"/>
      <c r="BA72" s="47" t="e">
        <f>VLOOKUP(AZ72,defense2_list,7,FALSE)</f>
        <v>#N/A</v>
      </c>
      <c r="BB72" s="57">
        <f>COUNTIF(defense2_forgroup_code,AZ72)</f>
        <v>0</v>
      </c>
      <c r="BC72" s="4" t="b">
        <f>ISNUMBER(SEARCH(H72,BA72))</f>
        <v>0</v>
      </c>
      <c r="BD72" s="4" t="b">
        <f>AND(NOT(ISBLANK(I72)),(ISNUMBER(SEARCH(I72,AZ72))))</f>
        <v>0</v>
      </c>
      <c r="BE72" s="4"/>
      <c r="BF72" s="47"/>
      <c r="BG72" s="47"/>
    </row>
    <row r="73" spans="1:59" ht="15" thickBot="1" x14ac:dyDescent="0.4">
      <c r="A73" s="47">
        <v>119</v>
      </c>
      <c r="B73" s="48"/>
      <c r="C73" s="49" t="s">
        <v>544</v>
      </c>
      <c r="D73" s="58" t="s">
        <v>545</v>
      </c>
      <c r="E73" s="14" t="s">
        <v>546</v>
      </c>
      <c r="F73" s="14" t="s">
        <v>547</v>
      </c>
      <c r="G73" s="49" t="s">
        <v>83</v>
      </c>
      <c r="H73" s="50" t="s">
        <v>13</v>
      </c>
      <c r="I73" s="51"/>
      <c r="J73" s="6">
        <v>3544</v>
      </c>
      <c r="K73" s="6">
        <f>COUNTIF(review1_code,J73)</f>
        <v>3</v>
      </c>
      <c r="L73" s="4" t="str">
        <f>VLOOKUP(J73,review1,10,FALSE)</f>
        <v>HuongNTC2</v>
      </c>
      <c r="M73" s="4" t="str">
        <f>VLOOKUP(J73,review1,11,FALSE)</f>
        <v>LamNN15</v>
      </c>
      <c r="N73" s="47" t="b">
        <f>OR(EXACT(L73,H73),EXACT(L73,I73),EXACT(M73,H73),EXACT(M73,I73))</f>
        <v>0</v>
      </c>
      <c r="O73" s="52">
        <f>VLOOKUP(J73,review1,7,FALSE)</f>
        <v>46045</v>
      </c>
      <c r="P73" s="52" t="str">
        <f>VLOOKUP(J73,review1,8,FALSE)</f>
        <v>Fri</v>
      </c>
      <c r="Q73" s="47">
        <f>INT(MOD(J73/10,10))</f>
        <v>4</v>
      </c>
      <c r="R73" s="47" t="str">
        <f>VLOOKUP(J73,review1,9,FALSE)</f>
        <v>NVH G.04</v>
      </c>
      <c r="S73" s="47">
        <f>J73+4000</f>
        <v>7544</v>
      </c>
      <c r="T73" s="6">
        <v>7544</v>
      </c>
      <c r="U73" s="6">
        <f>COUNTIF(review2_code,T73)</f>
        <v>3</v>
      </c>
      <c r="V73" s="4" t="str">
        <f>VLOOKUP(T73,review2,10,FALSE)</f>
        <v>HuongNTC2</v>
      </c>
      <c r="W73" s="4" t="str">
        <f>VLOOKUP(T73,review2,11,FALSE)</f>
        <v>LamNN15</v>
      </c>
      <c r="X73" s="4" t="b">
        <f>OR(EXACT(V73,H73),EXACT(V73,I73),EXACT(W73,H73),EXACT(W73,I73))</f>
        <v>0</v>
      </c>
      <c r="Y73" s="53">
        <f>VLOOKUP(T73,review2,7,FALSE)</f>
        <v>46086</v>
      </c>
      <c r="Z73" s="53" t="str">
        <f>VLOOKUP(T73,review2,8,FALSE)</f>
        <v>Thu</v>
      </c>
      <c r="AA73" s="47">
        <f>INT(MOD(T73/10,10))</f>
        <v>4</v>
      </c>
      <c r="AB73" s="47" t="e">
        <f>VLOOKUP(J73,review2,9,FALSE)</f>
        <v>#N/A</v>
      </c>
      <c r="AC73" s="47"/>
      <c r="AD73" s="6">
        <v>14533</v>
      </c>
      <c r="AE73" s="6">
        <f>COUNTIF(review3_code,AD73)</f>
        <v>3</v>
      </c>
      <c r="AF73" s="54" t="str">
        <f>VLOOKUP(AD73,review3,10,FALSE)</f>
        <v>TaiNT51</v>
      </c>
      <c r="AG73" s="54" t="str">
        <f>VLOOKUP(AD73,review3,11,FALSE)</f>
        <v>SangNM18</v>
      </c>
      <c r="AH73" s="47" t="b">
        <f>OR(EXACT(AF73,H73),EXACT(AF73,I73),EXACT(AG73,H73),EXACT(AG73,I73))</f>
        <v>0</v>
      </c>
      <c r="AI73" s="47" t="b">
        <f>OR(EXACT(AF73,V73),EXACT(AF73,W73),EXACT(AG73,V73),EXACT(AG73,W73))</f>
        <v>0</v>
      </c>
      <c r="AJ73" s="53">
        <f>VLOOKUP(AD73,review3,7,FALSE)</f>
        <v>46135</v>
      </c>
      <c r="AK73" s="53" t="str">
        <f>VLOOKUP(AD73,review3,8,FALSE)</f>
        <v>Thu</v>
      </c>
      <c r="AL73" s="47">
        <f>VLOOKUP(AD73,review3,4,FALSE)</f>
        <v>3</v>
      </c>
      <c r="AM73" s="47" t="str">
        <f>VLOOKUP(AD73,review3,9,FALSE)</f>
        <v>NVH.415</v>
      </c>
      <c r="AN73" s="55"/>
      <c r="AO73" t="s">
        <v>688</v>
      </c>
      <c r="AP73" s="105">
        <v>302</v>
      </c>
      <c r="AQ73" s="106" t="str">
        <f>VLOOKUP(AP73,defense1_list,7,FALSE)</f>
        <v>TaiNT51_QuynhTNN4_AnNDH2_MinhTTH5_TruongLV11</v>
      </c>
      <c r="AR73" s="57">
        <f>COUNTIF(defense1_forgroup_code,AP73)</f>
        <v>8</v>
      </c>
      <c r="AS73" s="4" t="b">
        <f>ISNUMBER(SEARCH(H73,AQ73))</f>
        <v>0</v>
      </c>
      <c r="AT73" s="4" t="b">
        <f>AND(NOT(ISBLANK(I73)),(ISNUMBER(SEARCH(I73,AQ73))))</f>
        <v>0</v>
      </c>
      <c r="AU73" s="4" t="b">
        <f>(IFERROR(SEARCH(AF73,AQ73),0)+IFERROR(SEARCH(AG73,AQ73),0))&gt;0</f>
        <v>1</v>
      </c>
      <c r="AV73" s="47"/>
      <c r="AW73" s="47"/>
      <c r="AX73" s="47"/>
      <c r="AY73" s="47"/>
      <c r="AZ73" s="128"/>
      <c r="BA73" s="47" t="e">
        <f>VLOOKUP(AZ73,defense2_list,7,FALSE)</f>
        <v>#N/A</v>
      </c>
      <c r="BB73" s="57">
        <f>COUNTIF(defense2_forgroup_code,AZ73)</f>
        <v>0</v>
      </c>
      <c r="BC73" s="4" t="b">
        <f>ISNUMBER(SEARCH(H73,BA73))</f>
        <v>0</v>
      </c>
      <c r="BD73" s="4" t="b">
        <f>AND(NOT(ISBLANK(I73)),(ISNUMBER(SEARCH(I73,AZ73))))</f>
        <v>0</v>
      </c>
      <c r="BE73" s="4"/>
      <c r="BF73" s="47"/>
      <c r="BG73" s="47"/>
    </row>
    <row r="74" spans="1:59" ht="29.5" customHeight="1" thickBot="1" x14ac:dyDescent="0.4">
      <c r="A74" s="47">
        <v>129</v>
      </c>
      <c r="B74" s="48"/>
      <c r="C74" s="49" t="s">
        <v>548</v>
      </c>
      <c r="D74" s="58" t="s">
        <v>549</v>
      </c>
      <c r="E74" s="14" t="s">
        <v>550</v>
      </c>
      <c r="F74" s="14" t="s">
        <v>551</v>
      </c>
      <c r="G74" s="49" t="s">
        <v>517</v>
      </c>
      <c r="H74" s="50" t="s">
        <v>32</v>
      </c>
      <c r="I74" s="51"/>
      <c r="J74" s="6">
        <v>3551</v>
      </c>
      <c r="K74" s="6">
        <f>COUNTIF(review1_code,J74)</f>
        <v>3</v>
      </c>
      <c r="L74" s="4" t="str">
        <f>VLOOKUP(J74,review1,10,FALSE)</f>
        <v>LamNN15</v>
      </c>
      <c r="M74" s="4" t="str">
        <f>VLOOKUP(J74,review1,11,FALSE)</f>
        <v>SangNM18</v>
      </c>
      <c r="N74" s="47" t="b">
        <f>OR(EXACT(L74,H74),EXACT(L74,I74),EXACT(M74,H74),EXACT(M74,I74))</f>
        <v>0</v>
      </c>
      <c r="O74" s="52">
        <f>VLOOKUP(J74,review1,7,FALSE)</f>
        <v>46045</v>
      </c>
      <c r="P74" s="52" t="str">
        <f>VLOOKUP(J74,review1,8,FALSE)</f>
        <v>Fri</v>
      </c>
      <c r="Q74" s="47">
        <f>INT(MOD(J74/10,10))</f>
        <v>5</v>
      </c>
      <c r="R74" s="47" t="str">
        <f>VLOOKUP(J74,review1,9,FALSE)</f>
        <v>NVH G.04</v>
      </c>
      <c r="S74" s="47">
        <f>J74+4000</f>
        <v>7551</v>
      </c>
      <c r="T74" s="6">
        <v>7551</v>
      </c>
      <c r="U74" s="6">
        <f>COUNTIF(review2_code,T74)</f>
        <v>3</v>
      </c>
      <c r="V74" s="4" t="str">
        <f>VLOOKUP(T74,review2,10,FALSE)</f>
        <v>LamNN15</v>
      </c>
      <c r="W74" s="4" t="str">
        <f>VLOOKUP(T74,review2,11,FALSE)</f>
        <v>SangNM18</v>
      </c>
      <c r="X74" s="4" t="b">
        <f>OR(EXACT(V74,H74),EXACT(V74,I74),EXACT(W74,H74),EXACT(W74,I74))</f>
        <v>0</v>
      </c>
      <c r="Y74" s="53">
        <f>VLOOKUP(T74,review2,7,FALSE)</f>
        <v>46086</v>
      </c>
      <c r="Z74" s="53" t="str">
        <f>VLOOKUP(T74,review2,8,FALSE)</f>
        <v>Thu</v>
      </c>
      <c r="AA74" s="47">
        <f>INT(MOD(T74/10,10))</f>
        <v>5</v>
      </c>
      <c r="AB74" s="47" t="e">
        <f>VLOOKUP(J74,review2,9,FALSE)</f>
        <v>#N/A</v>
      </c>
      <c r="AC74" s="47"/>
      <c r="AD74" s="6">
        <v>14543</v>
      </c>
      <c r="AE74" s="6">
        <f>COUNTIF(review3_code,AD74)</f>
        <v>3</v>
      </c>
      <c r="AF74" s="54" t="str">
        <f>VLOOKUP(AD74,review3,10,FALSE)</f>
        <v>TaiNT51</v>
      </c>
      <c r="AG74" s="54" t="str">
        <f>VLOOKUP(AD74,review3,11,FALSE)</f>
        <v>TriPT9</v>
      </c>
      <c r="AH74" s="47" t="b">
        <f>OR(EXACT(AF74,H74),EXACT(AF74,I74),EXACT(AG74,H74),EXACT(AG74,I74))</f>
        <v>0</v>
      </c>
      <c r="AI74" s="47" t="b">
        <f>OR(EXACT(AF74,V74),EXACT(AF74,W74),EXACT(AG74,V74),EXACT(AG74,W74))</f>
        <v>0</v>
      </c>
      <c r="AJ74" s="53">
        <f>VLOOKUP(AD74,review3,7,FALSE)</f>
        <v>46135</v>
      </c>
      <c r="AK74" s="53" t="str">
        <f>VLOOKUP(AD74,review3,8,FALSE)</f>
        <v>Thu</v>
      </c>
      <c r="AL74" s="47">
        <f>VLOOKUP(AD74,review3,4,FALSE)</f>
        <v>4</v>
      </c>
      <c r="AM74" s="47" t="str">
        <f>VLOOKUP(AD74,review3,9,FALSE)</f>
        <v>NVH.415</v>
      </c>
      <c r="AN74" s="55"/>
      <c r="AO74" t="s">
        <v>688</v>
      </c>
      <c r="AP74" s="56">
        <v>302</v>
      </c>
      <c r="AQ74" s="47" t="str">
        <f>VLOOKUP(AP74,defense1_list,7,FALSE)</f>
        <v>TaiNT51_QuynhTNN4_AnNDH2_MinhTTH5_TruongLV11</v>
      </c>
      <c r="AR74" s="57">
        <f>COUNTIF(defense1_forgroup_code,AP74)</f>
        <v>8</v>
      </c>
      <c r="AS74" s="4" t="b">
        <f>ISNUMBER(SEARCH(H74,AQ74))</f>
        <v>0</v>
      </c>
      <c r="AT74" s="4" t="b">
        <f>AND(NOT(ISBLANK(I74)),(ISNUMBER(SEARCH(I74,AQ74))))</f>
        <v>0</v>
      </c>
      <c r="AU74" s="4" t="b">
        <f>(IFERROR(SEARCH(AF74,AQ74),0)+IFERROR(SEARCH(AG74,AQ74),0))&gt;0</f>
        <v>1</v>
      </c>
      <c r="AV74" s="47"/>
      <c r="AW74" s="47"/>
      <c r="AX74" s="47"/>
      <c r="AY74" s="47"/>
      <c r="AZ74" s="128"/>
      <c r="BA74" s="47" t="e">
        <f>VLOOKUP(AZ74,defense2_list,7,FALSE)</f>
        <v>#N/A</v>
      </c>
      <c r="BB74" s="57">
        <f>COUNTIF(defense2_forgroup_code,AZ74)</f>
        <v>0</v>
      </c>
      <c r="BC74" s="4" t="b">
        <f>ISNUMBER(SEARCH(H74,BA74))</f>
        <v>0</v>
      </c>
      <c r="BD74" s="4" t="b">
        <f>AND(NOT(ISBLANK(I74)),(ISNUMBER(SEARCH(I74,AZ74))))</f>
        <v>0</v>
      </c>
      <c r="BE74" s="4"/>
      <c r="BF74" s="47"/>
      <c r="BG74" s="47"/>
    </row>
    <row r="75" spans="1:59" ht="15" thickBot="1" x14ac:dyDescent="0.4">
      <c r="A75" s="47">
        <v>91</v>
      </c>
      <c r="B75" s="48"/>
      <c r="C75" s="49" t="s">
        <v>552</v>
      </c>
      <c r="D75" s="58" t="s">
        <v>553</v>
      </c>
      <c r="E75" s="14" t="s">
        <v>554</v>
      </c>
      <c r="F75" s="14" t="s">
        <v>555</v>
      </c>
      <c r="G75" s="49" t="s">
        <v>78</v>
      </c>
      <c r="H75" s="50" t="s">
        <v>26</v>
      </c>
      <c r="I75" s="51"/>
      <c r="J75" s="6">
        <v>3552</v>
      </c>
      <c r="K75" s="6">
        <f>COUNTIF(review1_code,J75)</f>
        <v>3</v>
      </c>
      <c r="L75" s="4" t="str">
        <f>VLOOKUP(J75,review1,10,FALSE)</f>
        <v>TaiNT51</v>
      </c>
      <c r="M75" s="4" t="str">
        <f>VLOOKUP(J75,review1,11,FALSE)</f>
        <v>MinhTTH5</v>
      </c>
      <c r="N75" s="47" t="b">
        <f>OR(EXACT(L75,H75),EXACT(L75,I75),EXACT(M75,H75),EXACT(M75,I75))</f>
        <v>0</v>
      </c>
      <c r="O75" s="52">
        <f>VLOOKUP(J75,review1,7,FALSE)</f>
        <v>46045</v>
      </c>
      <c r="P75" s="52" t="str">
        <f>VLOOKUP(J75,review1,8,FALSE)</f>
        <v>Fri</v>
      </c>
      <c r="Q75" s="47">
        <f>INT(MOD(J75/10,10))</f>
        <v>5</v>
      </c>
      <c r="R75" s="47" t="str">
        <f>VLOOKUP(J75,review1,9,FALSE)</f>
        <v>NVH 420</v>
      </c>
      <c r="S75" s="47">
        <f>J75+4000</f>
        <v>7552</v>
      </c>
      <c r="T75" s="6">
        <v>7552</v>
      </c>
      <c r="U75" s="6">
        <f>COUNTIF(review2_code,T75)</f>
        <v>3</v>
      </c>
      <c r="V75" s="4" t="str">
        <f>VLOOKUP(T75,review2,10,FALSE)</f>
        <v>TaiNT51</v>
      </c>
      <c r="W75" s="4" t="str">
        <f>VLOOKUP(T75,review2,11,FALSE)</f>
        <v>MinhTTH5</v>
      </c>
      <c r="X75" s="4" t="b">
        <f>OR(EXACT(V75,H75),EXACT(V75,I75),EXACT(W75,H75),EXACT(W75,I75))</f>
        <v>0</v>
      </c>
      <c r="Y75" s="53">
        <f>VLOOKUP(T75,review2,7,FALSE)</f>
        <v>46086</v>
      </c>
      <c r="Z75" s="53" t="str">
        <f>VLOOKUP(T75,review2,8,FALSE)</f>
        <v>Thu</v>
      </c>
      <c r="AA75" s="47">
        <f>INT(MOD(T75/10,10))</f>
        <v>5</v>
      </c>
      <c r="AB75" s="47" t="e">
        <f>VLOOKUP(J75,review2,9,FALSE)</f>
        <v>#N/A</v>
      </c>
      <c r="AC75" s="47"/>
      <c r="AD75" s="6">
        <v>14233</v>
      </c>
      <c r="AE75" s="6">
        <f>COUNTIF(review3_code,AD75)</f>
        <v>3</v>
      </c>
      <c r="AF75" s="54" t="str">
        <f>VLOOKUP(AD75,review3,10,FALSE)</f>
        <v>TamPM</v>
      </c>
      <c r="AG75" s="54" t="str">
        <f>VLOOKUP(AD75,review3,11,FALSE)</f>
        <v>HoangNT20</v>
      </c>
      <c r="AH75" s="47" t="b">
        <f>OR(EXACT(AF75,H75),EXACT(AF75,I75),EXACT(AG75,H75),EXACT(AG75,I75))</f>
        <v>0</v>
      </c>
      <c r="AI75" s="47" t="b">
        <f>OR(EXACT(AF75,V75),EXACT(AF75,W75),EXACT(AG75,V75),EXACT(AG75,W75))</f>
        <v>0</v>
      </c>
      <c r="AJ75" s="53">
        <f>VLOOKUP(AD75,review3,7,FALSE)</f>
        <v>46132</v>
      </c>
      <c r="AK75" s="53" t="str">
        <f>VLOOKUP(AD75,review3,8,FALSE)</f>
        <v>Mon</v>
      </c>
      <c r="AL75" s="47">
        <f>VLOOKUP(AD75,review3,4,FALSE)</f>
        <v>3</v>
      </c>
      <c r="AM75" s="47" t="str">
        <f>VLOOKUP(AD75,review3,9,FALSE)</f>
        <v>NVH.306</v>
      </c>
      <c r="AN75" s="55"/>
      <c r="AO75" t="s">
        <v>688</v>
      </c>
      <c r="AP75" s="56">
        <v>303</v>
      </c>
      <c r="AQ75" s="47" t="str">
        <f>VLOOKUP(AP75,defense1_list,7,FALSE)</f>
        <v>DucDNM2_NgocTT4_HoangNT20_TriPT9_LongT5</v>
      </c>
      <c r="AR75" s="57">
        <f>COUNTIF(defense1_forgroup_code,AP75)</f>
        <v>7</v>
      </c>
      <c r="AS75" s="4" t="b">
        <f>ISNUMBER(SEARCH(H75,AQ75))</f>
        <v>0</v>
      </c>
      <c r="AT75" s="4" t="b">
        <f>AND(NOT(ISBLANK(I75)),(ISNUMBER(SEARCH(I75,AQ75))))</f>
        <v>0</v>
      </c>
      <c r="AU75" s="4" t="b">
        <f>(IFERROR(SEARCH(AF75,AQ75),0)+IFERROR(SEARCH(AG75,AQ75),0))&gt;0</f>
        <v>1</v>
      </c>
      <c r="AV75" s="47"/>
      <c r="AW75" s="47"/>
      <c r="AX75" s="47"/>
      <c r="AY75" s="47"/>
      <c r="AZ75" s="128"/>
      <c r="BA75" s="47" t="e">
        <f>VLOOKUP(AZ75,defense2_list,7,FALSE)</f>
        <v>#N/A</v>
      </c>
      <c r="BB75" s="57">
        <f>COUNTIF(defense2_forgroup_code,AZ75)</f>
        <v>0</v>
      </c>
      <c r="BC75" s="4" t="b">
        <f>ISNUMBER(SEARCH(H75,BA75))</f>
        <v>0</v>
      </c>
      <c r="BD75" s="4" t="b">
        <f>AND(NOT(ISBLANK(I75)),(ISNUMBER(SEARCH(I75,AZ75))))</f>
        <v>0</v>
      </c>
      <c r="BE75" s="4"/>
      <c r="BF75" s="47"/>
      <c r="BG75" s="47"/>
    </row>
    <row r="76" spans="1:59" ht="15" thickBot="1" x14ac:dyDescent="0.4">
      <c r="A76" s="47">
        <v>22</v>
      </c>
      <c r="B76" s="48"/>
      <c r="C76" s="49" t="s">
        <v>556</v>
      </c>
      <c r="D76" s="58" t="s">
        <v>557</v>
      </c>
      <c r="E76" s="14" t="s">
        <v>558</v>
      </c>
      <c r="F76" s="14" t="s">
        <v>559</v>
      </c>
      <c r="G76" s="49" t="s">
        <v>64</v>
      </c>
      <c r="H76" s="50" t="s">
        <v>24</v>
      </c>
      <c r="I76" s="51"/>
      <c r="J76" s="6">
        <v>3553</v>
      </c>
      <c r="K76" s="6">
        <f>COUNTIF(review1_code,J76)</f>
        <v>3</v>
      </c>
      <c r="L76" s="4" t="str">
        <f>VLOOKUP(J76,review1,10,FALSE)</f>
        <v>PhuongLHK</v>
      </c>
      <c r="M76" s="4" t="str">
        <f>VLOOKUP(J76,review1,11,FALSE)</f>
        <v>NhanDT35</v>
      </c>
      <c r="N76" s="47" t="b">
        <f>OR(EXACT(L76,H76),EXACT(L76,I76),EXACT(M76,H76),EXACT(M76,I76))</f>
        <v>0</v>
      </c>
      <c r="O76" s="52">
        <f>VLOOKUP(J76,review1,7,FALSE)</f>
        <v>46045</v>
      </c>
      <c r="P76" s="52" t="str">
        <f>VLOOKUP(J76,review1,8,FALSE)</f>
        <v>Fri</v>
      </c>
      <c r="Q76" s="47">
        <f>INT(MOD(J76/10,10))</f>
        <v>5</v>
      </c>
      <c r="R76" s="47" t="str">
        <f>VLOOKUP(J76,review1,9,FALSE)</f>
        <v>NVH G.05</v>
      </c>
      <c r="S76" s="47">
        <f>J76+4000</f>
        <v>7553</v>
      </c>
      <c r="T76" s="6">
        <v>7553</v>
      </c>
      <c r="U76" s="6">
        <f>COUNTIF(review2_code,T76)</f>
        <v>3</v>
      </c>
      <c r="V76" s="4" t="str">
        <f>VLOOKUP(T76,review2,10,FALSE)</f>
        <v>PhuongLHK</v>
      </c>
      <c r="W76" s="4" t="str">
        <f>VLOOKUP(T76,review2,11,FALSE)</f>
        <v>NhanDT35</v>
      </c>
      <c r="X76" s="4" t="b">
        <f>OR(EXACT(V76,H76),EXACT(V76,I76),EXACT(W76,H76),EXACT(W76,I76))</f>
        <v>0</v>
      </c>
      <c r="Y76" s="53">
        <f>VLOOKUP(T76,review2,7,FALSE)</f>
        <v>46086</v>
      </c>
      <c r="Z76" s="53" t="str">
        <f>VLOOKUP(T76,review2,8,FALSE)</f>
        <v>Thu</v>
      </c>
      <c r="AA76" s="47">
        <f>INT(MOD(T76/10,10))</f>
        <v>5</v>
      </c>
      <c r="AB76" s="47" t="e">
        <f>VLOOKUP(J76,review2,9,FALSE)</f>
        <v>#N/A</v>
      </c>
      <c r="AC76" s="47"/>
      <c r="AD76" s="6">
        <v>14411</v>
      </c>
      <c r="AE76" s="6">
        <f>COUNTIF(review3_code,AD76)</f>
        <v>3</v>
      </c>
      <c r="AF76" s="54" t="str">
        <f>VLOOKUP(AD76,review3,10,FALSE)</f>
        <v>TaiNT51</v>
      </c>
      <c r="AG76" s="54" t="str">
        <f>VLOOKUP(AD76,review3,11,FALSE)</f>
        <v>VanTTN2</v>
      </c>
      <c r="AH76" s="47" t="b">
        <f>OR(EXACT(AF76,H76),EXACT(AF76,I76),EXACT(AG76,H76),EXACT(AG76,I76))</f>
        <v>0</v>
      </c>
      <c r="AI76" s="47" t="b">
        <f>OR(EXACT(AF76,V76),EXACT(AF76,W76),EXACT(AG76,V76),EXACT(AG76,W76))</f>
        <v>0</v>
      </c>
      <c r="AJ76" s="53">
        <f>VLOOKUP(AD76,review3,7,FALSE)</f>
        <v>46134</v>
      </c>
      <c r="AK76" s="53" t="str">
        <f>VLOOKUP(AD76,review3,8,FALSE)</f>
        <v>Wed</v>
      </c>
      <c r="AL76" s="47">
        <f>VLOOKUP(AD76,review3,4,FALSE)</f>
        <v>1</v>
      </c>
      <c r="AM76" s="47" t="str">
        <f>VLOOKUP(AD76,review3,9,FALSE)</f>
        <v>NVH.415</v>
      </c>
      <c r="AN76" s="55"/>
      <c r="AO76" t="s">
        <v>688</v>
      </c>
      <c r="AP76" s="56">
        <v>402</v>
      </c>
      <c r="AQ76" s="47" t="str">
        <f>VLOOKUP(AP76,defense1_list,7,FALSE)</f>
        <v>TaiNT51_ThongNT_TriPT9_MinhTTH5_TruongLV11</v>
      </c>
      <c r="AR76" s="57">
        <f>COUNTIF(defense1_forgroup_code,AP76)</f>
        <v>8</v>
      </c>
      <c r="AS76" s="4" t="b">
        <f>ISNUMBER(SEARCH(H76,AQ76))</f>
        <v>0</v>
      </c>
      <c r="AT76" s="4" t="b">
        <f>AND(NOT(ISBLANK(I76)),(ISNUMBER(SEARCH(I76,AQ76))))</f>
        <v>0</v>
      </c>
      <c r="AU76" s="4" t="b">
        <f>(IFERROR(SEARCH(AF76,AQ76),0)+IFERROR(SEARCH(AG76,AQ76),0))&gt;0</f>
        <v>1</v>
      </c>
      <c r="AV76" s="47"/>
      <c r="AW76" s="47"/>
      <c r="AX76" s="47"/>
      <c r="AY76" s="47"/>
      <c r="AZ76" s="128"/>
      <c r="BA76" s="47" t="e">
        <f>VLOOKUP(AZ76,defense2_list,7,FALSE)</f>
        <v>#N/A</v>
      </c>
      <c r="BB76" s="57">
        <f>COUNTIF(defense2_forgroup_code,AZ76)</f>
        <v>0</v>
      </c>
      <c r="BC76" s="4" t="b">
        <f>ISNUMBER(SEARCH(H76,BA76))</f>
        <v>0</v>
      </c>
      <c r="BD76" s="4" t="b">
        <f>AND(NOT(ISBLANK(I76)),(ISNUMBER(SEARCH(I76,AZ76))))</f>
        <v>0</v>
      </c>
      <c r="BE76" s="4"/>
      <c r="BF76" s="47"/>
      <c r="BG76" s="47"/>
    </row>
    <row r="77" spans="1:59" ht="15" thickBot="1" x14ac:dyDescent="0.4">
      <c r="A77" s="47">
        <v>122</v>
      </c>
      <c r="B77" s="48"/>
      <c r="C77" s="49" t="s">
        <v>560</v>
      </c>
      <c r="D77" s="58" t="s">
        <v>561</v>
      </c>
      <c r="E77" s="14" t="s">
        <v>562</v>
      </c>
      <c r="F77" s="14" t="s">
        <v>563</v>
      </c>
      <c r="G77" s="49" t="s">
        <v>78</v>
      </c>
      <c r="H77" s="50" t="s">
        <v>26</v>
      </c>
      <c r="I77" s="51"/>
      <c r="J77" s="6">
        <v>3554</v>
      </c>
      <c r="K77" s="6">
        <f>COUNTIF(review1_code,J77)</f>
        <v>3</v>
      </c>
      <c r="L77" s="4" t="str">
        <f>VLOOKUP(J77,review1,10,FALSE)</f>
        <v>TriPT9</v>
      </c>
      <c r="M77" s="4" t="str">
        <f>VLOOKUP(J77,review1,11,FALSE)</f>
        <v>LongT5</v>
      </c>
      <c r="N77" s="47" t="b">
        <f>OR(EXACT(L77,H77),EXACT(L77,I77),EXACT(M77,H77),EXACT(M77,I77))</f>
        <v>0</v>
      </c>
      <c r="O77" s="52">
        <f>VLOOKUP(J77,review1,7,FALSE)</f>
        <v>46045</v>
      </c>
      <c r="P77" s="52" t="str">
        <f>VLOOKUP(J77,review1,8,FALSE)</f>
        <v>Fri</v>
      </c>
      <c r="Q77" s="47">
        <f>INT(MOD(J77/10,10))</f>
        <v>5</v>
      </c>
      <c r="R77" s="47" t="str">
        <f>VLOOKUP(J77,review1,9,FALSE)</f>
        <v>NVH 421</v>
      </c>
      <c r="S77" s="47">
        <f>J77+4000</f>
        <v>7554</v>
      </c>
      <c r="T77" s="6">
        <v>7554</v>
      </c>
      <c r="U77" s="6">
        <f>COUNTIF(review2_code,T77)</f>
        <v>3</v>
      </c>
      <c r="V77" s="4" t="str">
        <f>VLOOKUP(T77,review2,10,FALSE)</f>
        <v>TriPT9</v>
      </c>
      <c r="W77" s="4" t="str">
        <f>VLOOKUP(T77,review2,11,FALSE)</f>
        <v>LongT5</v>
      </c>
      <c r="X77" s="4" t="b">
        <f>OR(EXACT(V77,H77),EXACT(V77,I77),EXACT(W77,H77),EXACT(W77,I77))</f>
        <v>0</v>
      </c>
      <c r="Y77" s="53">
        <f>VLOOKUP(T77,review2,7,FALSE)</f>
        <v>46086</v>
      </c>
      <c r="Z77" s="53" t="str">
        <f>VLOOKUP(T77,review2,8,FALSE)</f>
        <v>Thu</v>
      </c>
      <c r="AA77" s="47">
        <f>INT(MOD(T77/10,10))</f>
        <v>5</v>
      </c>
      <c r="AB77" s="47" t="e">
        <f>VLOOKUP(J77,review2,9,FALSE)</f>
        <v>#N/A</v>
      </c>
      <c r="AC77" s="47"/>
      <c r="AD77" s="6">
        <v>14213</v>
      </c>
      <c r="AE77" s="6">
        <f>COUNTIF(review3_code,AD77)</f>
        <v>3</v>
      </c>
      <c r="AF77" s="54" t="str">
        <f>VLOOKUP(AD77,review3,10,FALSE)</f>
        <v>PhuongLHK</v>
      </c>
      <c r="AG77" s="54" t="str">
        <f>VLOOKUP(AD77,review3,11,FALSE)</f>
        <v>MinhTTH5</v>
      </c>
      <c r="AH77" s="47" t="b">
        <f>OR(EXACT(AF77,H77),EXACT(AF77,I77),EXACT(AG77,H77),EXACT(AG77,I77))</f>
        <v>0</v>
      </c>
      <c r="AI77" s="47" t="b">
        <f>OR(EXACT(AF77,V77),EXACT(AF77,W77),EXACT(AG77,V77),EXACT(AG77,W77))</f>
        <v>0</v>
      </c>
      <c r="AJ77" s="53">
        <f>VLOOKUP(AD77,review3,7,FALSE)</f>
        <v>46132</v>
      </c>
      <c r="AK77" s="53" t="str">
        <f>VLOOKUP(AD77,review3,8,FALSE)</f>
        <v>Mon</v>
      </c>
      <c r="AL77" s="47">
        <f>VLOOKUP(AD77,review3,4,FALSE)</f>
        <v>1</v>
      </c>
      <c r="AM77" s="47" t="str">
        <f>VLOOKUP(AD77,review3,9,FALSE)</f>
        <v>NVH.301</v>
      </c>
      <c r="AN77" s="55"/>
      <c r="AO77" t="s">
        <v>688</v>
      </c>
      <c r="AP77" s="56">
        <v>304</v>
      </c>
      <c r="AQ77" s="47" t="str">
        <f>VLOOKUP(AP77,defense1_list,7,FALSE)</f>
        <v>PhuongLHK_PhucNT40_SangNM18_VuLNS_NhanDT35</v>
      </c>
      <c r="AR77" s="57">
        <f>COUNTIF(defense1_forgroup_code,AP77)</f>
        <v>7</v>
      </c>
      <c r="AS77" s="4" t="b">
        <f>ISNUMBER(SEARCH(H77,AQ77))</f>
        <v>0</v>
      </c>
      <c r="AT77" s="4" t="b">
        <f>AND(NOT(ISBLANK(I77)),(ISNUMBER(SEARCH(I77,AQ77))))</f>
        <v>0</v>
      </c>
      <c r="AU77" s="4" t="b">
        <f>(IFERROR(SEARCH(AF77,AQ77),0)+IFERROR(SEARCH(AG77,AQ77),0))&gt;0</f>
        <v>1</v>
      </c>
      <c r="AV77" s="47"/>
      <c r="AW77" s="47"/>
      <c r="AX77" s="47"/>
      <c r="AY77" s="47"/>
      <c r="AZ77" s="128"/>
      <c r="BA77" s="47" t="e">
        <f>VLOOKUP(AZ77,defense2_list,7,FALSE)</f>
        <v>#N/A</v>
      </c>
      <c r="BB77" s="57">
        <f>COUNTIF(defense2_forgroup_code,AZ77)</f>
        <v>0</v>
      </c>
      <c r="BC77" s="4" t="b">
        <f>ISNUMBER(SEARCH(H77,BA77))</f>
        <v>0</v>
      </c>
      <c r="BD77" s="4" t="b">
        <f>AND(NOT(ISBLANK(I77)),(ISNUMBER(SEARCH(I77,AZ77))))</f>
        <v>0</v>
      </c>
      <c r="BE77" s="4"/>
      <c r="BF77" s="47"/>
      <c r="BG77" s="47"/>
    </row>
    <row r="78" spans="1:59" ht="29.5" thickBot="1" x14ac:dyDescent="0.4">
      <c r="A78" s="47">
        <v>87</v>
      </c>
      <c r="B78" s="48"/>
      <c r="C78" s="49" t="s">
        <v>564</v>
      </c>
      <c r="D78" s="58" t="s">
        <v>565</v>
      </c>
      <c r="E78" s="14" t="s">
        <v>566</v>
      </c>
      <c r="F78" s="14" t="s">
        <v>567</v>
      </c>
      <c r="G78" s="49" t="s">
        <v>568</v>
      </c>
      <c r="H78" s="50" t="s">
        <v>644</v>
      </c>
      <c r="I78" s="51" t="s">
        <v>645</v>
      </c>
      <c r="J78" s="6">
        <v>3611</v>
      </c>
      <c r="K78" s="6">
        <f>COUNTIF(review1_code,J78)</f>
        <v>3</v>
      </c>
      <c r="L78" s="4" t="str">
        <f>VLOOKUP(J78,review1,10,FALSE)</f>
        <v>HuongNTC2</v>
      </c>
      <c r="M78" s="4" t="str">
        <f>VLOOKUP(J78,review1,11,FALSE)</f>
        <v>TaiNT51</v>
      </c>
      <c r="N78" s="47" t="b">
        <f>OR(EXACT(L78,H78),EXACT(L78,I78),EXACT(M78,H78),EXACT(M78,I78))</f>
        <v>0</v>
      </c>
      <c r="O78" s="52">
        <f>VLOOKUP(J78,review1,7,FALSE)</f>
        <v>46046</v>
      </c>
      <c r="P78" s="52" t="str">
        <f>VLOOKUP(J78,review1,8,FALSE)</f>
        <v>Sat</v>
      </c>
      <c r="Q78" s="47">
        <f>INT(MOD(J78/10,10))</f>
        <v>1</v>
      </c>
      <c r="R78" s="47" t="str">
        <f>VLOOKUP(J78,review1,9,FALSE)</f>
        <v>NVH G.01</v>
      </c>
      <c r="S78" s="47">
        <f>J78+4000</f>
        <v>7611</v>
      </c>
      <c r="T78" s="6">
        <v>7611</v>
      </c>
      <c r="U78" s="6">
        <f>COUNTIF(review2_code,T78)</f>
        <v>3</v>
      </c>
      <c r="V78" s="4" t="str">
        <f>VLOOKUP(T78,review2,10,FALSE)</f>
        <v>HuongNTC2</v>
      </c>
      <c r="W78" s="4" t="str">
        <f>VLOOKUP(T78,review2,11,FALSE)</f>
        <v>TaiNT51</v>
      </c>
      <c r="X78" s="4" t="b">
        <f>OR(EXACT(V78,H78),EXACT(V78,I78),EXACT(W78,H78),EXACT(W78,I78))</f>
        <v>0</v>
      </c>
      <c r="Y78" s="53">
        <f>VLOOKUP(T78,review2,7,FALSE)</f>
        <v>46087</v>
      </c>
      <c r="Z78" s="53" t="str">
        <f>VLOOKUP(T78,review2,8,FALSE)</f>
        <v>Fri</v>
      </c>
      <c r="AA78" s="47">
        <f>INT(MOD(T78/10,10))</f>
        <v>1</v>
      </c>
      <c r="AB78" s="47" t="e">
        <f>VLOOKUP(J78,review2,9,FALSE)</f>
        <v>#N/A</v>
      </c>
      <c r="AC78" s="47"/>
      <c r="AD78" s="6">
        <v>14522</v>
      </c>
      <c r="AE78" s="6">
        <f>COUNTIF(review3_code,AD78)</f>
        <v>3</v>
      </c>
      <c r="AF78" s="54" t="str">
        <f>VLOOKUP(AD78,review3,10,FALSE)</f>
        <v>TaiNT51</v>
      </c>
      <c r="AG78" s="54" t="str">
        <f>VLOOKUP(AD78,review3,11,FALSE)</f>
        <v>PhuongLHK</v>
      </c>
      <c r="AH78" s="47" t="b">
        <f>OR(EXACT(AF78,H78),EXACT(AF78,I78),EXACT(AG78,H78),EXACT(AG78,I78))</f>
        <v>0</v>
      </c>
      <c r="AI78" s="47" t="b">
        <f>OR(EXACT(AF78,V78),EXACT(AF78,W78),EXACT(AG78,V78),EXACT(AG78,W78))</f>
        <v>1</v>
      </c>
      <c r="AJ78" s="53">
        <f>VLOOKUP(AD78,review3,7,FALSE)</f>
        <v>46135</v>
      </c>
      <c r="AK78" s="53" t="str">
        <f>VLOOKUP(AD78,review3,8,FALSE)</f>
        <v>Thu</v>
      </c>
      <c r="AL78" s="47">
        <f>VLOOKUP(AD78,review3,4,FALSE)</f>
        <v>2</v>
      </c>
      <c r="AM78" s="47" t="str">
        <f>VLOOKUP(AD78,review3,9,FALSE)</f>
        <v>NVH.415</v>
      </c>
      <c r="AN78" s="55"/>
      <c r="AO78" t="s">
        <v>688</v>
      </c>
      <c r="AP78" s="56">
        <v>104</v>
      </c>
      <c r="AQ78" s="47" t="str">
        <f>VLOOKUP(AP78,defense1_list,7,FALSE)</f>
        <v>PhuongLHK_NguyenTT15_NhanDT35_TriPT9_ThinhDP2</v>
      </c>
      <c r="AR78" s="57">
        <f>COUNTIF(defense1_forgroup_code,AP78)</f>
        <v>7</v>
      </c>
      <c r="AS78" s="4" t="b">
        <f>ISNUMBER(SEARCH(H78,AQ78))</f>
        <v>0</v>
      </c>
      <c r="AT78" s="4" t="b">
        <f>AND(NOT(ISBLANK(I78)),(ISNUMBER(SEARCH(I78,AQ78))))</f>
        <v>0</v>
      </c>
      <c r="AU78" s="4" t="b">
        <f>(IFERROR(SEARCH(AF78,AQ78),0)+IFERROR(SEARCH(AG78,AQ78),0))&gt;0</f>
        <v>1</v>
      </c>
      <c r="AV78" s="47"/>
      <c r="AW78" s="47"/>
      <c r="AX78" s="47"/>
      <c r="AY78" s="47"/>
      <c r="AZ78" s="128"/>
      <c r="BA78" s="47" t="e">
        <f>VLOOKUP(AZ78,defense2_list,7,FALSE)</f>
        <v>#N/A</v>
      </c>
      <c r="BB78" s="57">
        <f>COUNTIF(defense2_forgroup_code,AZ78)</f>
        <v>0</v>
      </c>
      <c r="BC78" s="4" t="b">
        <f>ISNUMBER(SEARCH(H78,BA78))</f>
        <v>0</v>
      </c>
      <c r="BD78" s="4" t="b">
        <f>AND(NOT(ISBLANK(I78)),(ISNUMBER(SEARCH(I78,AZ78))))</f>
        <v>0</v>
      </c>
      <c r="BE78" s="4"/>
      <c r="BF78" s="47"/>
      <c r="BG78" s="47"/>
    </row>
    <row r="79" spans="1:59" ht="15" thickBot="1" x14ac:dyDescent="0.4">
      <c r="A79" s="47">
        <v>126</v>
      </c>
      <c r="B79" s="48"/>
      <c r="C79" s="49" t="s">
        <v>569</v>
      </c>
      <c r="D79" s="58" t="s">
        <v>570</v>
      </c>
      <c r="E79" s="14" t="s">
        <v>571</v>
      </c>
      <c r="F79" s="14" t="s">
        <v>572</v>
      </c>
      <c r="G79" s="49" t="s">
        <v>78</v>
      </c>
      <c r="H79" s="50" t="s">
        <v>26</v>
      </c>
      <c r="I79" s="51"/>
      <c r="J79" s="6">
        <v>3613</v>
      </c>
      <c r="K79" s="6">
        <f>COUNTIF(review1_code,J79)</f>
        <v>3</v>
      </c>
      <c r="L79" s="4" t="str">
        <f>VLOOKUP(J79,review1,10,FALSE)</f>
        <v>NhanDT35</v>
      </c>
      <c r="M79" s="4" t="str">
        <f>VLOOKUP(J79,review1,11,FALSE)</f>
        <v>VuLNS</v>
      </c>
      <c r="N79" s="47" t="b">
        <f>OR(EXACT(L79,H79),EXACT(L79,I79),EXACT(M79,H79),EXACT(M79,I79))</f>
        <v>0</v>
      </c>
      <c r="O79" s="52">
        <f>VLOOKUP(J79,review1,7,FALSE)</f>
        <v>46046</v>
      </c>
      <c r="P79" s="52" t="str">
        <f>VLOOKUP(J79,review1,8,FALSE)</f>
        <v>Sat</v>
      </c>
      <c r="Q79" s="47">
        <f>INT(MOD(J79/10,10))</f>
        <v>1</v>
      </c>
      <c r="R79" s="47" t="str">
        <f>VLOOKUP(J79,review1,9,FALSE)</f>
        <v>NVH 420</v>
      </c>
      <c r="S79" s="47">
        <f>J79+4000</f>
        <v>7613</v>
      </c>
      <c r="T79" s="6">
        <v>7613</v>
      </c>
      <c r="U79" s="6">
        <f>COUNTIF(review2_code,T79)</f>
        <v>3</v>
      </c>
      <c r="V79" s="4" t="str">
        <f>VLOOKUP(T79,review2,10,FALSE)</f>
        <v>NhanDT35</v>
      </c>
      <c r="W79" s="4" t="str">
        <f>VLOOKUP(T79,review2,11,FALSE)</f>
        <v>VuLNS</v>
      </c>
      <c r="X79" s="4" t="b">
        <f>OR(EXACT(V79,H79),EXACT(V79,I79),EXACT(W79,H79),EXACT(W79,I79))</f>
        <v>0</v>
      </c>
      <c r="Y79" s="53">
        <f>VLOOKUP(T79,review2,7,FALSE)</f>
        <v>46087</v>
      </c>
      <c r="Z79" s="53" t="str">
        <f>VLOOKUP(T79,review2,8,FALSE)</f>
        <v>Fri</v>
      </c>
      <c r="AA79" s="47">
        <f>INT(MOD(T79/10,10))</f>
        <v>1</v>
      </c>
      <c r="AB79" s="47" t="e">
        <f>VLOOKUP(J79,review2,9,FALSE)</f>
        <v>#N/A</v>
      </c>
      <c r="AC79" s="47"/>
      <c r="AD79" s="6">
        <v>14622</v>
      </c>
      <c r="AE79" s="6">
        <f>COUNTIF(review3_code,AD79)</f>
        <v>3</v>
      </c>
      <c r="AF79" s="54" t="str">
        <f>VLOOKUP(AD79,review3,10,FALSE)</f>
        <v>DucDNM2</v>
      </c>
      <c r="AG79" s="54" t="str">
        <f>VLOOKUP(AD79,review3,11,FALSE)</f>
        <v>MinhTTH5</v>
      </c>
      <c r="AH79" s="47" t="b">
        <f>OR(EXACT(AF79,H79),EXACT(AF79,I79),EXACT(AG79,H79),EXACT(AG79,I79))</f>
        <v>0</v>
      </c>
      <c r="AI79" s="47" t="b">
        <f>OR(EXACT(AF79,V79),EXACT(AF79,W79),EXACT(AG79,V79),EXACT(AG79,W79))</f>
        <v>0</v>
      </c>
      <c r="AJ79" s="53">
        <f>VLOOKUP(AD79,review3,7,FALSE)</f>
        <v>46136</v>
      </c>
      <c r="AK79" s="53" t="str">
        <f>VLOOKUP(AD79,review3,8,FALSE)</f>
        <v>Fri</v>
      </c>
      <c r="AL79" s="47">
        <f>VLOOKUP(AD79,review3,4,FALSE)</f>
        <v>2</v>
      </c>
      <c r="AM79" s="47" t="str">
        <f>VLOOKUP(AD79,review3,9,FALSE)</f>
        <v>NVH.301</v>
      </c>
      <c r="AN79" s="55"/>
      <c r="AO79" t="s">
        <v>688</v>
      </c>
      <c r="AP79" s="56">
        <v>403</v>
      </c>
      <c r="AQ79" s="47" t="str">
        <f>VLOOKUP(AP79,defense1_list,7,FALSE)</f>
        <v>SuTV_NgocTTM4_HoangNT20_LongT5_DucDNM2</v>
      </c>
      <c r="AR79" s="57">
        <f>COUNTIF(defense1_forgroup_code,AP79)</f>
        <v>7</v>
      </c>
      <c r="AS79" s="4" t="b">
        <f>ISNUMBER(SEARCH(H79,AQ79))</f>
        <v>0</v>
      </c>
      <c r="AT79" s="4" t="b">
        <f>AND(NOT(ISBLANK(I79)),(ISNUMBER(SEARCH(I79,AQ79))))</f>
        <v>0</v>
      </c>
      <c r="AU79" s="4" t="b">
        <f>(IFERROR(SEARCH(AF79,AQ79),0)+IFERROR(SEARCH(AG79,AQ79),0))&gt;0</f>
        <v>1</v>
      </c>
      <c r="AV79" s="47"/>
      <c r="AW79" s="47"/>
      <c r="AX79" s="47"/>
      <c r="AY79" s="47"/>
      <c r="AZ79" s="128"/>
      <c r="BA79" s="47" t="e">
        <f>VLOOKUP(AZ79,defense2_list,7,FALSE)</f>
        <v>#N/A</v>
      </c>
      <c r="BB79" s="57">
        <f>COUNTIF(defense2_forgroup_code,AZ79)</f>
        <v>0</v>
      </c>
      <c r="BC79" s="4" t="b">
        <f>ISNUMBER(SEARCH(H79,BA79))</f>
        <v>0</v>
      </c>
      <c r="BD79" s="4" t="b">
        <f>AND(NOT(ISBLANK(I79)),(ISNUMBER(SEARCH(I79,AZ79))))</f>
        <v>0</v>
      </c>
      <c r="BE79" s="4"/>
      <c r="BF79" s="47"/>
      <c r="BG79" s="47"/>
    </row>
    <row r="80" spans="1:59" ht="15" thickBot="1" x14ac:dyDescent="0.4">
      <c r="A80" s="47">
        <v>116</v>
      </c>
      <c r="B80" s="48"/>
      <c r="C80" s="49" t="s">
        <v>573</v>
      </c>
      <c r="D80" s="58" t="s">
        <v>574</v>
      </c>
      <c r="E80" s="14" t="s">
        <v>575</v>
      </c>
      <c r="F80" s="14" t="s">
        <v>576</v>
      </c>
      <c r="G80" s="49" t="s">
        <v>78</v>
      </c>
      <c r="H80" s="50" t="s">
        <v>26</v>
      </c>
      <c r="I80" s="51"/>
      <c r="J80" s="6">
        <v>3621</v>
      </c>
      <c r="K80" s="6">
        <f>COUNTIF(review1_code,J80)</f>
        <v>3</v>
      </c>
      <c r="L80" s="4" t="str">
        <f>VLOOKUP(J80,review1,10,FALSE)</f>
        <v>HuongNTC2</v>
      </c>
      <c r="M80" s="4" t="str">
        <f>VLOOKUP(J80,review1,11,FALSE)</f>
        <v>TaiNT51</v>
      </c>
      <c r="N80" s="47" t="b">
        <f>OR(EXACT(L80,H80),EXACT(L80,I80),EXACT(M80,H80),EXACT(M80,I80))</f>
        <v>0</v>
      </c>
      <c r="O80" s="52">
        <f>VLOOKUP(J80,review1,7,FALSE)</f>
        <v>46046</v>
      </c>
      <c r="P80" s="52" t="str">
        <f>VLOOKUP(J80,review1,8,FALSE)</f>
        <v>Sat</v>
      </c>
      <c r="Q80" s="47">
        <f>INT(MOD(J80/10,10))</f>
        <v>2</v>
      </c>
      <c r="R80" s="47" t="str">
        <f>VLOOKUP(J80,review1,9,FALSE)</f>
        <v>NVH G.01</v>
      </c>
      <c r="S80" s="47">
        <f>J80+4000</f>
        <v>7621</v>
      </c>
      <c r="T80" s="6">
        <v>7621</v>
      </c>
      <c r="U80" s="6">
        <f>COUNTIF(review2_code,T80)</f>
        <v>3</v>
      </c>
      <c r="V80" s="4" t="str">
        <f>VLOOKUP(T80,review2,10,FALSE)</f>
        <v>HuongNTC2</v>
      </c>
      <c r="W80" s="4" t="str">
        <f>VLOOKUP(T80,review2,11,FALSE)</f>
        <v>TaiNT51</v>
      </c>
      <c r="X80" s="4" t="b">
        <f>OR(EXACT(V80,H80),EXACT(V80,I80),EXACT(W80,H80),EXACT(W80,I80))</f>
        <v>0</v>
      </c>
      <c r="Y80" s="53">
        <f>VLOOKUP(T80,review2,7,FALSE)</f>
        <v>46087</v>
      </c>
      <c r="Z80" s="53" t="str">
        <f>VLOOKUP(T80,review2,8,FALSE)</f>
        <v>Fri</v>
      </c>
      <c r="AA80" s="47">
        <f>INT(MOD(T80/10,10))</f>
        <v>2</v>
      </c>
      <c r="AB80" s="47" t="e">
        <f>VLOOKUP(J80,review2,9,FALSE)</f>
        <v>#N/A</v>
      </c>
      <c r="AC80" s="47"/>
      <c r="AD80" s="6">
        <v>14342</v>
      </c>
      <c r="AE80" s="6">
        <f>COUNTIF(review3_code,AD80)</f>
        <v>3</v>
      </c>
      <c r="AF80" s="54" t="str">
        <f>VLOOKUP(AD80,review3,10,FALSE)</f>
        <v>TriPT9</v>
      </c>
      <c r="AG80" s="54" t="str">
        <f>VLOOKUP(AD80,review3,11,FALSE)</f>
        <v>SangNM18</v>
      </c>
      <c r="AH80" s="47" t="b">
        <f>OR(EXACT(AF80,H80),EXACT(AF80,I80),EXACT(AG80,H80),EXACT(AG80,I80))</f>
        <v>0</v>
      </c>
      <c r="AI80" s="47" t="b">
        <f>OR(EXACT(AF80,V80),EXACT(AF80,W80),EXACT(AG80,V80),EXACT(AG80,W80))</f>
        <v>0</v>
      </c>
      <c r="AJ80" s="53">
        <f>VLOOKUP(AD80,review3,7,FALSE)</f>
        <v>46133</v>
      </c>
      <c r="AK80" s="53" t="str">
        <f>VLOOKUP(AD80,review3,8,FALSE)</f>
        <v>Tue</v>
      </c>
      <c r="AL80" s="47">
        <f>VLOOKUP(AD80,review3,4,FALSE)</f>
        <v>4</v>
      </c>
      <c r="AM80" s="47" t="str">
        <f>VLOOKUP(AD80,review3,9,FALSE)</f>
        <v>NVH.414</v>
      </c>
      <c r="AN80" s="55"/>
      <c r="AO80" t="s">
        <v>688</v>
      </c>
      <c r="AP80" s="56">
        <v>402</v>
      </c>
      <c r="AQ80" s="47" t="str">
        <f>VLOOKUP(AP80,defense1_list,7,FALSE)</f>
        <v>TaiNT51_ThongNT_TriPT9_MinhTTH5_TruongLV11</v>
      </c>
      <c r="AR80" s="57">
        <f>COUNTIF(defense1_forgroup_code,AP80)</f>
        <v>8</v>
      </c>
      <c r="AS80" s="4" t="b">
        <f>ISNUMBER(SEARCH(H80,AQ80))</f>
        <v>0</v>
      </c>
      <c r="AT80" s="4" t="b">
        <f>AND(NOT(ISBLANK(I80)),(ISNUMBER(SEARCH(I80,AQ80))))</f>
        <v>0</v>
      </c>
      <c r="AU80" s="4" t="b">
        <f>(IFERROR(SEARCH(AF80,AQ80),0)+IFERROR(SEARCH(AG80,AQ80),0))&gt;0</f>
        <v>1</v>
      </c>
      <c r="AV80" s="47"/>
      <c r="AW80" s="47"/>
      <c r="AX80" s="47"/>
      <c r="AY80" s="47"/>
      <c r="AZ80" s="128"/>
      <c r="BA80" s="47" t="e">
        <f>VLOOKUP(AZ80,defense2_list,7,FALSE)</f>
        <v>#N/A</v>
      </c>
      <c r="BB80" s="57">
        <f>COUNTIF(defense2_forgroup_code,AZ80)</f>
        <v>0</v>
      </c>
      <c r="BC80" s="4" t="b">
        <f>ISNUMBER(SEARCH(H80,BA80))</f>
        <v>0</v>
      </c>
      <c r="BD80" s="4" t="b">
        <f>AND(NOT(ISBLANK(I80)),(ISNUMBER(SEARCH(I80,AZ80))))</f>
        <v>0</v>
      </c>
      <c r="BE80" s="4"/>
      <c r="BF80" s="47"/>
      <c r="BG80" s="47"/>
    </row>
    <row r="81" spans="1:59" ht="15" thickBot="1" x14ac:dyDescent="0.4">
      <c r="A81" s="47">
        <v>61</v>
      </c>
      <c r="B81" s="48"/>
      <c r="C81" s="49" t="s">
        <v>577</v>
      </c>
      <c r="D81" s="58" t="s">
        <v>578</v>
      </c>
      <c r="E81" s="14" t="s">
        <v>579</v>
      </c>
      <c r="F81" s="14" t="s">
        <v>580</v>
      </c>
      <c r="G81" s="49" t="s">
        <v>70</v>
      </c>
      <c r="H81" s="67" t="s">
        <v>71</v>
      </c>
      <c r="I81" s="51"/>
      <c r="J81" s="6">
        <v>3631</v>
      </c>
      <c r="K81" s="6">
        <f>COUNTIF(review1_code,J81)</f>
        <v>3</v>
      </c>
      <c r="L81" s="4" t="str">
        <f>VLOOKUP(J81,review1,10,FALSE)</f>
        <v>HuongNTC2</v>
      </c>
      <c r="M81" s="4" t="str">
        <f>VLOOKUP(J81,review1,11,FALSE)</f>
        <v>SangNM18</v>
      </c>
      <c r="N81" s="47" t="b">
        <f>OR(EXACT(L81,H81),EXACT(L81,I81),EXACT(M81,H81),EXACT(M81,I81))</f>
        <v>0</v>
      </c>
      <c r="O81" s="52">
        <f>VLOOKUP(J81,review1,7,FALSE)</f>
        <v>46046</v>
      </c>
      <c r="P81" s="52" t="str">
        <f>VLOOKUP(J81,review1,8,FALSE)</f>
        <v>Sat</v>
      </c>
      <c r="Q81" s="47">
        <f>INT(MOD(J81/10,10))</f>
        <v>3</v>
      </c>
      <c r="R81" s="47" t="str">
        <f>VLOOKUP(J81,review1,9,FALSE)</f>
        <v>NVH G.01</v>
      </c>
      <c r="S81" s="47">
        <f>J81+4000</f>
        <v>7631</v>
      </c>
      <c r="T81" s="6">
        <v>7631</v>
      </c>
      <c r="U81" s="6">
        <f>COUNTIF(review2_code,T81)</f>
        <v>3</v>
      </c>
      <c r="V81" s="4" t="str">
        <f>VLOOKUP(T81,review2,10,FALSE)</f>
        <v>HuongNTC2</v>
      </c>
      <c r="W81" s="4" t="str">
        <f>VLOOKUP(T81,review2,11,FALSE)</f>
        <v>SangNM18</v>
      </c>
      <c r="X81" s="4" t="b">
        <f>OR(EXACT(V81,H81),EXACT(V81,I81),EXACT(W81,H81),EXACT(W81,I81))</f>
        <v>0</v>
      </c>
      <c r="Y81" s="53">
        <f>VLOOKUP(T81,review2,7,FALSE)</f>
        <v>46087</v>
      </c>
      <c r="Z81" s="53" t="str">
        <f>VLOOKUP(T81,review2,8,FALSE)</f>
        <v>Fri</v>
      </c>
      <c r="AA81" s="47">
        <f>INT(MOD(T81/10,10))</f>
        <v>3</v>
      </c>
      <c r="AB81" s="47" t="e">
        <f>VLOOKUP(J81,review2,9,FALSE)</f>
        <v>#N/A</v>
      </c>
      <c r="AC81" s="47"/>
      <c r="AD81" s="6">
        <v>14351</v>
      </c>
      <c r="AE81" s="6">
        <f>COUNTIF(review3_code,AD81)</f>
        <v>3</v>
      </c>
      <c r="AF81" s="54" t="str">
        <f>VLOOKUP(AD81,review3,10,FALSE)</f>
        <v>PhuongLHK</v>
      </c>
      <c r="AG81" s="54" t="str">
        <f>VLOOKUP(AD81,review3,11,FALSE)</f>
        <v>NhanDT35</v>
      </c>
      <c r="AH81" s="47" t="b">
        <f>OR(EXACT(AF81,H81),EXACT(AF81,I81),EXACT(AG81,H81),EXACT(AG81,I81))</f>
        <v>0</v>
      </c>
      <c r="AI81" s="47" t="b">
        <f>OR(EXACT(AF81,V81),EXACT(AF81,W81),EXACT(AG81,V81),EXACT(AG81,W81))</f>
        <v>0</v>
      </c>
      <c r="AJ81" s="53">
        <f>VLOOKUP(AD81,review3,7,FALSE)</f>
        <v>46133</v>
      </c>
      <c r="AK81" s="53" t="str">
        <f>VLOOKUP(AD81,review3,8,FALSE)</f>
        <v>Tue</v>
      </c>
      <c r="AL81" s="47">
        <f>VLOOKUP(AD81,review3,4,FALSE)</f>
        <v>5</v>
      </c>
      <c r="AM81" s="47" t="str">
        <f>VLOOKUP(AD81,review3,9,FALSE)</f>
        <v>NVH.301</v>
      </c>
      <c r="AN81" s="55"/>
      <c r="AO81" t="s">
        <v>688</v>
      </c>
      <c r="AP81" s="56">
        <v>104</v>
      </c>
      <c r="AQ81" s="47" t="str">
        <f>VLOOKUP(AP81,defense1_list,7,FALSE)</f>
        <v>PhuongLHK_NguyenTT15_NhanDT35_TriPT9_ThinhDP2</v>
      </c>
      <c r="AR81" s="57">
        <f>COUNTIF(defense1_forgroup_code,AP81)</f>
        <v>7</v>
      </c>
      <c r="AS81" s="4" t="b">
        <f>ISNUMBER(SEARCH(H81,AQ81))</f>
        <v>0</v>
      </c>
      <c r="AT81" s="4" t="b">
        <f>AND(NOT(ISBLANK(I81)),(ISNUMBER(SEARCH(I81,AQ81))))</f>
        <v>0</v>
      </c>
      <c r="AU81" s="4" t="b">
        <f>(IFERROR(SEARCH(AF81,AQ81),0)+IFERROR(SEARCH(AG81,AQ81),0))&gt;0</f>
        <v>1</v>
      </c>
      <c r="AV81" s="47"/>
      <c r="AW81" s="47"/>
      <c r="AX81" s="47"/>
      <c r="AY81" s="47"/>
      <c r="AZ81" s="128"/>
      <c r="BA81" s="47" t="e">
        <f>VLOOKUP(AZ81,defense2_list,7,FALSE)</f>
        <v>#N/A</v>
      </c>
      <c r="BB81" s="57">
        <f>COUNTIF(defense2_forgroup_code,AZ81)</f>
        <v>0</v>
      </c>
      <c r="BC81" s="4" t="b">
        <f>ISNUMBER(SEARCH(H81,BA81))</f>
        <v>0</v>
      </c>
      <c r="BD81" s="4" t="b">
        <f>AND(NOT(ISBLANK(I81)),(ISNUMBER(SEARCH(I81,AZ81))))</f>
        <v>0</v>
      </c>
      <c r="BE81" s="4"/>
      <c r="BF81" s="47"/>
      <c r="BG81" s="47"/>
    </row>
    <row r="82" spans="1:59" ht="29.5" thickBot="1" x14ac:dyDescent="0.4">
      <c r="A82" s="47">
        <v>57</v>
      </c>
      <c r="B82" s="48"/>
      <c r="C82" s="49" t="s">
        <v>581</v>
      </c>
      <c r="D82" s="58" t="s">
        <v>582</v>
      </c>
      <c r="E82" s="14" t="s">
        <v>583</v>
      </c>
      <c r="F82" s="14" t="s">
        <v>584</v>
      </c>
      <c r="G82" s="49" t="s">
        <v>585</v>
      </c>
      <c r="H82" s="50" t="s">
        <v>644</v>
      </c>
      <c r="I82" s="51" t="s">
        <v>18</v>
      </c>
      <c r="J82" s="6">
        <v>3641</v>
      </c>
      <c r="K82" s="6">
        <f>COUNTIF(review1_code,J82)</f>
        <v>3</v>
      </c>
      <c r="L82" s="4" t="str">
        <f>VLOOKUP(J82,review1,10,FALSE)</f>
        <v>NhanDT35</v>
      </c>
      <c r="M82" s="4" t="str">
        <f>VLOOKUP(J82,review1,11,FALSE)</f>
        <v>VuLNS</v>
      </c>
      <c r="N82" s="47" t="b">
        <f>OR(EXACT(L82,H82),EXACT(L82,I82),EXACT(M82,H82),EXACT(M82,I82))</f>
        <v>0</v>
      </c>
      <c r="O82" s="52">
        <f>VLOOKUP(J82,review1,7,FALSE)</f>
        <v>46046</v>
      </c>
      <c r="P82" s="52" t="str">
        <f>VLOOKUP(J82,review1,8,FALSE)</f>
        <v>Sat</v>
      </c>
      <c r="Q82" s="47">
        <f>INT(MOD(J82/10,10))</f>
        <v>4</v>
      </c>
      <c r="R82" s="47" t="str">
        <f>VLOOKUP(J82,review1,9,FALSE)</f>
        <v>NVH 420</v>
      </c>
      <c r="S82" s="47">
        <f>J82+4000</f>
        <v>7641</v>
      </c>
      <c r="T82" s="6">
        <v>7641</v>
      </c>
      <c r="U82" s="6">
        <f>COUNTIF(review2_code,T82)</f>
        <v>3</v>
      </c>
      <c r="V82" s="4" t="str">
        <f>VLOOKUP(T82,review2,10,FALSE)</f>
        <v>NhanDT35</v>
      </c>
      <c r="W82" s="4" t="str">
        <f>VLOOKUP(T82,review2,11,FALSE)</f>
        <v>VuLNS</v>
      </c>
      <c r="X82" s="4" t="b">
        <f>OR(EXACT(V82,H82),EXACT(V82,I82),EXACT(W82,H82),EXACT(W82,I82))</f>
        <v>0</v>
      </c>
      <c r="Y82" s="53">
        <f>VLOOKUP(T82,review2,7,FALSE)</f>
        <v>46087</v>
      </c>
      <c r="Z82" s="53" t="str">
        <f>VLOOKUP(T82,review2,8,FALSE)</f>
        <v>Fri</v>
      </c>
      <c r="AA82" s="47">
        <f>INT(MOD(T82/10,10))</f>
        <v>4</v>
      </c>
      <c r="AB82" s="47" t="e">
        <f>VLOOKUP(J82,review2,9,FALSE)</f>
        <v>#N/A</v>
      </c>
      <c r="AC82" s="47"/>
      <c r="AD82" s="6">
        <v>14323</v>
      </c>
      <c r="AE82" s="6">
        <f>COUNTIF(review3_code,AD82)</f>
        <v>3</v>
      </c>
      <c r="AF82" s="54" t="str">
        <f>VLOOKUP(AD82,review3,10,FALSE)</f>
        <v>HuongNTC2</v>
      </c>
      <c r="AG82" s="54" t="str">
        <f>VLOOKUP(AD82,review3,11,FALSE)</f>
        <v>VanTTN2</v>
      </c>
      <c r="AH82" s="47" t="b">
        <f>OR(EXACT(AF82,H82),EXACT(AF82,I82),EXACT(AG82,H82),EXACT(AG82,I82))</f>
        <v>0</v>
      </c>
      <c r="AI82" s="47" t="b">
        <f>OR(EXACT(AF82,V82),EXACT(AF82,W82),EXACT(AG82,V82),EXACT(AG82,W82))</f>
        <v>0</v>
      </c>
      <c r="AJ82" s="53">
        <f>VLOOKUP(AD82,review3,7,FALSE)</f>
        <v>46133</v>
      </c>
      <c r="AK82" s="53" t="str">
        <f>VLOOKUP(AD82,review3,8,FALSE)</f>
        <v>Tue</v>
      </c>
      <c r="AL82" s="47">
        <f>VLOOKUP(AD82,review3,4,FALSE)</f>
        <v>2</v>
      </c>
      <c r="AM82" s="47" t="str">
        <f>VLOOKUP(AD82,review3,9,FALSE)</f>
        <v>NVH.414</v>
      </c>
      <c r="AN82" s="55"/>
      <c r="AO82" t="s">
        <v>688</v>
      </c>
      <c r="AP82" s="56">
        <v>301</v>
      </c>
      <c r="AQ82" s="47" t="str">
        <f>VLOOKUP(AP82,defense1_list,7,FALSE)</f>
        <v>HuongNTC2_VanTTN2_TamPM_LinhNV (Long Chau)_LamNN15</v>
      </c>
      <c r="AR82" s="57">
        <f>COUNTIF(defense1_forgroup_code,AP82)</f>
        <v>7</v>
      </c>
      <c r="AS82" s="4" t="b">
        <f>ISNUMBER(SEARCH(H82,AQ82))</f>
        <v>0</v>
      </c>
      <c r="AT82" s="4" t="b">
        <f>AND(NOT(ISBLANK(I82)),(ISNUMBER(SEARCH(I82,AQ82))))</f>
        <v>0</v>
      </c>
      <c r="AU82" s="4" t="b">
        <f>(IFERROR(SEARCH(AF82,AQ82),0)+IFERROR(SEARCH(AG82,AQ82),0))&gt;0</f>
        <v>1</v>
      </c>
      <c r="AV82" s="47"/>
      <c r="AW82" s="47"/>
      <c r="AX82" s="47"/>
      <c r="AY82" s="47"/>
      <c r="AZ82" s="128"/>
      <c r="BA82" s="47" t="e">
        <f>VLOOKUP(AZ82,defense2_list,7,FALSE)</f>
        <v>#N/A</v>
      </c>
      <c r="BB82" s="57">
        <f>COUNTIF(defense2_forgroup_code,AZ82)</f>
        <v>0</v>
      </c>
      <c r="BC82" s="4" t="b">
        <f>ISNUMBER(SEARCH(H82,BA82))</f>
        <v>0</v>
      </c>
      <c r="BD82" s="4" t="b">
        <f>AND(NOT(ISBLANK(I82)),(ISNUMBER(SEARCH(I82,AZ82))))</f>
        <v>0</v>
      </c>
      <c r="BE82" s="4"/>
      <c r="BF82" s="47"/>
      <c r="BG82" s="47"/>
    </row>
    <row r="83" spans="1:59" ht="15" thickBot="1" x14ac:dyDescent="0.4">
      <c r="A83" s="47">
        <v>69</v>
      </c>
      <c r="B83" s="48"/>
      <c r="C83" s="49" t="s">
        <v>586</v>
      </c>
      <c r="D83" s="58" t="s">
        <v>587</v>
      </c>
      <c r="E83" s="14" t="s">
        <v>588</v>
      </c>
      <c r="F83" s="14" t="s">
        <v>589</v>
      </c>
      <c r="G83" s="49" t="s">
        <v>69</v>
      </c>
      <c r="H83" s="50" t="s">
        <v>17</v>
      </c>
      <c r="I83" s="51"/>
      <c r="J83" s="6">
        <v>3642</v>
      </c>
      <c r="K83" s="6">
        <f>COUNTIF(review1_code,J83)</f>
        <v>3</v>
      </c>
      <c r="L83" s="4" t="str">
        <f>VLOOKUP(J83,review1,10,FALSE)</f>
        <v>HuongNTC2</v>
      </c>
      <c r="M83" s="4" t="str">
        <f>VLOOKUP(J83,review1,11,FALSE)</f>
        <v>TamPM</v>
      </c>
      <c r="N83" s="47" t="b">
        <f>OR(EXACT(L83,H83),EXACT(L83,I83),EXACT(M83,H83),EXACT(M83,I83))</f>
        <v>0</v>
      </c>
      <c r="O83" s="52">
        <f>VLOOKUP(J83,review1,7,FALSE)</f>
        <v>46046</v>
      </c>
      <c r="P83" s="52" t="str">
        <f>VLOOKUP(J83,review1,8,FALSE)</f>
        <v>Sat</v>
      </c>
      <c r="Q83" s="47">
        <f>INT(MOD(J83/10,10))</f>
        <v>4</v>
      </c>
      <c r="R83" s="47" t="str">
        <f>VLOOKUP(J83,review1,9,FALSE)</f>
        <v>NVH G.01</v>
      </c>
      <c r="S83" s="47">
        <f>J83+4000</f>
        <v>7642</v>
      </c>
      <c r="T83" s="6">
        <v>7642</v>
      </c>
      <c r="U83" s="6">
        <f>COUNTIF(review2_code,T83)</f>
        <v>3</v>
      </c>
      <c r="V83" s="4" t="str">
        <f>VLOOKUP(T83,review2,10,FALSE)</f>
        <v>HuongNTC2</v>
      </c>
      <c r="W83" s="4" t="str">
        <f>VLOOKUP(T83,review2,11,FALSE)</f>
        <v>TamPM</v>
      </c>
      <c r="X83" s="4" t="b">
        <f>OR(EXACT(V83,H83),EXACT(V83,I83),EXACT(W83,H83),EXACT(W83,I83))</f>
        <v>0</v>
      </c>
      <c r="Y83" s="53">
        <f>VLOOKUP(T83,review2,7,FALSE)</f>
        <v>46087</v>
      </c>
      <c r="Z83" s="53" t="str">
        <f>VLOOKUP(T83,review2,8,FALSE)</f>
        <v>Fri</v>
      </c>
      <c r="AA83" s="47">
        <f>INT(MOD(T83/10,10))</f>
        <v>4</v>
      </c>
      <c r="AB83" s="47" t="e">
        <f>VLOOKUP(J83,review2,9,FALSE)</f>
        <v>#N/A</v>
      </c>
      <c r="AC83" s="47"/>
      <c r="AD83" s="6">
        <v>14441</v>
      </c>
      <c r="AE83" s="6">
        <f>COUNTIF(review3_code,AD83)</f>
        <v>3</v>
      </c>
      <c r="AF83" s="54" t="str">
        <f>VLOOKUP(AD83,review3,10,FALSE)</f>
        <v>TaiNT51</v>
      </c>
      <c r="AG83" s="54" t="str">
        <f>VLOOKUP(AD83,review3,11,FALSE)</f>
        <v>HoangNT20</v>
      </c>
      <c r="AH83" s="47" t="b">
        <f>OR(EXACT(AF83,H83),EXACT(AF83,I83),EXACT(AG83,H83),EXACT(AG83,I83))</f>
        <v>0</v>
      </c>
      <c r="AI83" s="47" t="b">
        <f>OR(EXACT(AF83,V83),EXACT(AF83,W83),EXACT(AG83,V83),EXACT(AG83,W83))</f>
        <v>0</v>
      </c>
      <c r="AJ83" s="53">
        <f>VLOOKUP(AD83,review3,7,FALSE)</f>
        <v>46134</v>
      </c>
      <c r="AK83" s="53" t="str">
        <f>VLOOKUP(AD83,review3,8,FALSE)</f>
        <v>Wed</v>
      </c>
      <c r="AL83" s="47">
        <f>VLOOKUP(AD83,review3,4,FALSE)</f>
        <v>4</v>
      </c>
      <c r="AM83" s="47" t="str">
        <f>VLOOKUP(AD83,review3,9,FALSE)</f>
        <v>NVH.415</v>
      </c>
      <c r="AN83" s="55"/>
      <c r="AO83" t="s">
        <v>688</v>
      </c>
      <c r="AP83" s="56">
        <v>102</v>
      </c>
      <c r="AQ83" s="47" t="str">
        <f>VLOOKUP(AP83,defense1_list,7,FALSE)</f>
        <v>DucDNM2_NgocTTM4_HoangNT20_KiemHH_LamNN15</v>
      </c>
      <c r="AR83" s="57">
        <f>COUNTIF(defense1_forgroup_code,AP83)</f>
        <v>7</v>
      </c>
      <c r="AS83" s="4" t="b">
        <f>ISNUMBER(SEARCH(H83,AQ83))</f>
        <v>0</v>
      </c>
      <c r="AT83" s="4" t="b">
        <f>AND(NOT(ISBLANK(I83)),(ISNUMBER(SEARCH(I83,AQ83))))</f>
        <v>0</v>
      </c>
      <c r="AU83" s="4" t="b">
        <f>(IFERROR(SEARCH(AF83,AQ83),0)+IFERROR(SEARCH(AG83,AQ83),0))&gt;0</f>
        <v>1</v>
      </c>
      <c r="AV83" s="47"/>
      <c r="AW83" s="47"/>
      <c r="AX83" s="47"/>
      <c r="AY83" s="47"/>
      <c r="AZ83" s="128"/>
      <c r="BA83" s="47" t="e">
        <f>VLOOKUP(AZ83,defense2_list,7,FALSE)</f>
        <v>#N/A</v>
      </c>
      <c r="BB83" s="57">
        <f>COUNTIF(defense2_forgroup_code,AZ83)</f>
        <v>0</v>
      </c>
      <c r="BC83" s="4" t="b">
        <f>ISNUMBER(SEARCH(H83,BA83))</f>
        <v>0</v>
      </c>
      <c r="BD83" s="4" t="b">
        <f>AND(NOT(ISBLANK(I83)),(ISNUMBER(SEARCH(I83,AZ83))))</f>
        <v>0</v>
      </c>
      <c r="BE83" s="4"/>
      <c r="BF83" s="47"/>
      <c r="BG83" s="47"/>
    </row>
    <row r="84" spans="1:59" ht="15" thickBot="1" x14ac:dyDescent="0.4">
      <c r="A84" s="47">
        <v>63</v>
      </c>
      <c r="B84" s="48"/>
      <c r="C84" s="49" t="s">
        <v>96</v>
      </c>
      <c r="D84" s="58" t="s">
        <v>97</v>
      </c>
      <c r="E84" s="14" t="s">
        <v>98</v>
      </c>
      <c r="F84" s="14" t="s">
        <v>99</v>
      </c>
      <c r="G84" s="49" t="s">
        <v>90</v>
      </c>
      <c r="H84" s="50" t="s">
        <v>23</v>
      </c>
      <c r="I84" s="51"/>
      <c r="J84" s="6">
        <v>4431</v>
      </c>
      <c r="K84" s="6">
        <f>COUNTIF(review1_code,J84)</f>
        <v>3</v>
      </c>
      <c r="L84" s="74" t="str">
        <f>VLOOKUP(J84,review1,10,FALSE)</f>
        <v>DucDNM2</v>
      </c>
      <c r="M84" s="74" t="str">
        <f>VLOOKUP(J84,review1,11,FALSE)</f>
        <v>VanTTN2</v>
      </c>
      <c r="N84" s="47" t="b">
        <f>OR(EXACT(L84,H84),EXACT(L84,I84),EXACT(M84,H84),EXACT(M84,I84))</f>
        <v>0</v>
      </c>
      <c r="O84" s="52">
        <f>VLOOKUP(J84,review1,7,FALSE)</f>
        <v>46051</v>
      </c>
      <c r="P84" s="52" t="str">
        <f>VLOOKUP(J84,review1,8,FALSE)</f>
        <v>Thu</v>
      </c>
      <c r="Q84" s="47">
        <f>INT(MOD(J84/10,10))</f>
        <v>3</v>
      </c>
      <c r="R84" s="47" t="str">
        <f>VLOOKUP(J84,review1,9,FALSE)</f>
        <v>LB21 (Thư viên Campus)</v>
      </c>
      <c r="S84" s="47">
        <f>J84+4000</f>
        <v>8431</v>
      </c>
      <c r="T84" s="6">
        <v>8431</v>
      </c>
      <c r="U84" s="6">
        <f>COUNTIF(review2_code,T84)</f>
        <v>3</v>
      </c>
      <c r="V84" s="4" t="str">
        <f>VLOOKUP(T84,review2,10,FALSE)</f>
        <v>DucDNM2</v>
      </c>
      <c r="W84" s="4" t="str">
        <f>VLOOKUP(T84,review2,11,FALSE)</f>
        <v>VanTTN2</v>
      </c>
      <c r="X84" s="4" t="b">
        <f>OR(EXACT(V84,H84),EXACT(V84,I84),EXACT(W84,H84),EXACT(W84,I84))</f>
        <v>0</v>
      </c>
      <c r="Y84" s="53">
        <f>VLOOKUP(T84,review2,7,FALSE)</f>
        <v>46092</v>
      </c>
      <c r="Z84" s="53" t="str">
        <f>VLOOKUP(T84,review2,8,FALSE)</f>
        <v>Wed</v>
      </c>
      <c r="AA84" s="47">
        <f>INT(MOD(T84/10,10))</f>
        <v>3</v>
      </c>
      <c r="AB84" s="47" t="e">
        <f>VLOOKUP(J84,review2,9,FALSE)</f>
        <v>#N/A</v>
      </c>
      <c r="AC84" s="47"/>
      <c r="AD84" s="6">
        <v>14223</v>
      </c>
      <c r="AE84" s="6">
        <f>COUNTIF(review3_code,AD84)</f>
        <v>3</v>
      </c>
      <c r="AF84" s="54" t="str">
        <f>VLOOKUP(AD84,review3,10,FALSE)</f>
        <v>PhuongLHK</v>
      </c>
      <c r="AG84" s="54" t="str">
        <f>VLOOKUP(AD84,review3,11,FALSE)</f>
        <v>VuLNS</v>
      </c>
      <c r="AH84" s="47" t="b">
        <f>OR(EXACT(AF84,H84),EXACT(AF84,I84),EXACT(AG84,H84),EXACT(AG84,I84))</f>
        <v>0</v>
      </c>
      <c r="AI84" s="47" t="b">
        <f>OR(EXACT(AF84,V84),EXACT(AF84,W84),EXACT(AG84,V84),EXACT(AG84,W84))</f>
        <v>0</v>
      </c>
      <c r="AJ84" s="53">
        <f>VLOOKUP(AD84,review3,7,FALSE)</f>
        <v>46132</v>
      </c>
      <c r="AK84" s="53" t="str">
        <f>VLOOKUP(AD84,review3,8,FALSE)</f>
        <v>Mon</v>
      </c>
      <c r="AL84" s="47">
        <f>VLOOKUP(AD84,review3,4,FALSE)</f>
        <v>2</v>
      </c>
      <c r="AM84" s="47" t="str">
        <f>VLOOKUP(AD84,review3,9,FALSE)</f>
        <v>NVH.301</v>
      </c>
      <c r="AN84" s="55"/>
      <c r="AO84" t="s">
        <v>688</v>
      </c>
      <c r="AP84" s="56">
        <v>404</v>
      </c>
      <c r="AQ84" s="47" t="str">
        <f>VLOOKUP(AP84,defense1_list,7,FALSE)</f>
        <v>PhuongLHK_HungLD5_NhanDT35_VuLNS_TamPM</v>
      </c>
      <c r="AR84" s="57">
        <f>COUNTIF(defense1_forgroup_code,AP84)</f>
        <v>7</v>
      </c>
      <c r="AS84" s="4" t="b">
        <f>ISNUMBER(SEARCH(H84,AQ84))</f>
        <v>0</v>
      </c>
      <c r="AT84" s="4" t="b">
        <f>AND(NOT(ISBLANK(I84)),(ISNUMBER(SEARCH(I84,AQ84))))</f>
        <v>0</v>
      </c>
      <c r="AU84" s="4" t="b">
        <f>(IFERROR(SEARCH(AF84,AQ84),0)+IFERROR(SEARCH(AG84,AQ84),0))&gt;0</f>
        <v>1</v>
      </c>
      <c r="AV84" s="47"/>
      <c r="AW84" s="47"/>
      <c r="AX84" s="47"/>
      <c r="AY84" s="47"/>
      <c r="AZ84" s="128"/>
      <c r="BA84" s="47" t="e">
        <f>VLOOKUP(AZ84,defense2_list,7,FALSE)</f>
        <v>#N/A</v>
      </c>
      <c r="BB84" s="57">
        <f>COUNTIF(defense2_forgroup_code,AZ84)</f>
        <v>0</v>
      </c>
      <c r="BC84" s="4" t="b">
        <f>ISNUMBER(SEARCH(H84,BA84))</f>
        <v>0</v>
      </c>
      <c r="BD84" s="4" t="b">
        <f>AND(NOT(ISBLANK(I84)),(ISNUMBER(SEARCH(I84,AZ84))))</f>
        <v>0</v>
      </c>
      <c r="BE84" s="4"/>
      <c r="BF84" s="47"/>
      <c r="BG84" s="47"/>
    </row>
    <row r="85" spans="1:59" ht="29.5" thickBot="1" x14ac:dyDescent="0.4">
      <c r="A85" s="47">
        <v>120</v>
      </c>
      <c r="B85" s="48"/>
      <c r="C85" s="49" t="s">
        <v>119</v>
      </c>
      <c r="D85" s="58" t="s">
        <v>120</v>
      </c>
      <c r="E85" s="14" t="s">
        <v>121</v>
      </c>
      <c r="F85" s="14" t="s">
        <v>122</v>
      </c>
      <c r="G85" s="49" t="s">
        <v>601</v>
      </c>
      <c r="H85" s="50" t="s">
        <v>21</v>
      </c>
      <c r="I85" s="51" t="s">
        <v>20</v>
      </c>
      <c r="J85" s="6">
        <v>4231</v>
      </c>
      <c r="K85" s="6">
        <f>COUNTIF(review1_code,J85)</f>
        <v>3</v>
      </c>
      <c r="L85" s="4" t="str">
        <f>VLOOKUP(J85,review1,10,FALSE)</f>
        <v>PhuongLHK</v>
      </c>
      <c r="M85" s="4" t="str">
        <f>VLOOKUP(J85,review1,11,FALSE)</f>
        <v>MinhTTH5</v>
      </c>
      <c r="N85" s="47" t="b">
        <f>OR(EXACT(L85,H85),EXACT(L85,I85),EXACT(M85,H85),EXACT(M85,I85))</f>
        <v>0</v>
      </c>
      <c r="O85" s="52">
        <f>VLOOKUP(J85,review1,7,FALSE)</f>
        <v>46049</v>
      </c>
      <c r="P85" s="52" t="str">
        <f>VLOOKUP(J85,review1,8,FALSE)</f>
        <v>Tue</v>
      </c>
      <c r="Q85" s="47">
        <f>INT(MOD(J85/10,10))</f>
        <v>3</v>
      </c>
      <c r="R85" s="47" t="str">
        <f>VLOOKUP(J85,review1,9,FALSE)</f>
        <v>NVH G.01</v>
      </c>
      <c r="S85" s="47">
        <f>J85+4000</f>
        <v>8231</v>
      </c>
      <c r="T85" s="6">
        <v>8231</v>
      </c>
      <c r="U85" s="6">
        <f>COUNTIF(review2_code,T85)</f>
        <v>3</v>
      </c>
      <c r="V85" s="4" t="str">
        <f>VLOOKUP(T85,review2,10,FALSE)</f>
        <v>PhuongLHK</v>
      </c>
      <c r="W85" s="4" t="str">
        <f>VLOOKUP(T85,review2,11,FALSE)</f>
        <v>MinhTTH5</v>
      </c>
      <c r="X85" s="4" t="b">
        <f>OR(EXACT(V85,H85),EXACT(V85,I85),EXACT(W85,H85),EXACT(W85,I85))</f>
        <v>0</v>
      </c>
      <c r="Y85" s="53">
        <f>VLOOKUP(T85,review2,7,FALSE)</f>
        <v>46090</v>
      </c>
      <c r="Z85" s="53" t="str">
        <f>VLOOKUP(T85,review2,8,FALSE)</f>
        <v>Mon</v>
      </c>
      <c r="AA85" s="47">
        <f>INT(MOD(T85/10,10))</f>
        <v>3</v>
      </c>
      <c r="AB85" s="47" t="e">
        <f>VLOOKUP(J85,review2,9,FALSE)</f>
        <v>#N/A</v>
      </c>
      <c r="AC85" s="47"/>
      <c r="AD85" s="6">
        <v>14332</v>
      </c>
      <c r="AE85" s="6">
        <f>COUNTIF(review3_code,AD85)</f>
        <v>3</v>
      </c>
      <c r="AF85" s="54" t="str">
        <f>VLOOKUP(AD85,review3,10,FALSE)</f>
        <v>TriPT9</v>
      </c>
      <c r="AG85" s="54" t="str">
        <f>VLOOKUP(AD85,review3,11,FALSE)</f>
        <v>SangNM18</v>
      </c>
      <c r="AH85" s="47" t="b">
        <f>OR(EXACT(AF85,H85),EXACT(AF85,I85),EXACT(AG85,H85),EXACT(AG85,I85))</f>
        <v>0</v>
      </c>
      <c r="AI85" s="47" t="b">
        <f>OR(EXACT(AF85,V85),EXACT(AF85,W85),EXACT(AG85,V85),EXACT(AG85,W85))</f>
        <v>0</v>
      </c>
      <c r="AJ85" s="53">
        <f>VLOOKUP(AD85,review3,7,FALSE)</f>
        <v>46133</v>
      </c>
      <c r="AK85" s="53" t="str">
        <f>VLOOKUP(AD85,review3,8,FALSE)</f>
        <v>Tue</v>
      </c>
      <c r="AL85" s="47">
        <f>VLOOKUP(AD85,review3,4,FALSE)</f>
        <v>3</v>
      </c>
      <c r="AM85" s="47" t="str">
        <f>VLOOKUP(AD85,review3,9,FALSE)</f>
        <v>NVH.414</v>
      </c>
      <c r="AN85" s="55"/>
      <c r="AO85" t="s">
        <v>688</v>
      </c>
      <c r="AP85" s="56">
        <v>304</v>
      </c>
      <c r="AQ85" s="47" t="str">
        <f>VLOOKUP(AP85,defense1_list,7,FALSE)</f>
        <v>PhuongLHK_PhucNT40_SangNM18_VuLNS_NhanDT35</v>
      </c>
      <c r="AR85" s="57">
        <f>COUNTIF(defense1_forgroup_code,AP85)</f>
        <v>7</v>
      </c>
      <c r="AS85" s="4" t="b">
        <f>ISNUMBER(SEARCH(H85,AQ85))</f>
        <v>0</v>
      </c>
      <c r="AT85" s="4" t="b">
        <f>AND(NOT(ISBLANK(I85)),(ISNUMBER(SEARCH(I85,AQ85))))</f>
        <v>0</v>
      </c>
      <c r="AU85" s="4" t="b">
        <f>(IFERROR(SEARCH(AF85,AQ85),0)+IFERROR(SEARCH(AG85,AQ85),0))&gt;0</f>
        <v>1</v>
      </c>
      <c r="AV85" s="47"/>
      <c r="AW85" s="47"/>
      <c r="AX85" s="47"/>
      <c r="AY85" s="47"/>
      <c r="AZ85" s="128"/>
      <c r="BA85" s="47" t="e">
        <f>VLOOKUP(AZ85,defense2_list,7,FALSE)</f>
        <v>#N/A</v>
      </c>
      <c r="BB85" s="57">
        <f>COUNTIF(defense2_forgroup_code,AZ85)</f>
        <v>0</v>
      </c>
      <c r="BC85" s="4" t="b">
        <f>ISNUMBER(SEARCH(H85,BA85))</f>
        <v>0</v>
      </c>
      <c r="BD85" s="4" t="b">
        <f>AND(NOT(ISBLANK(I85)),(ISNUMBER(SEARCH(I85,AZ85))))</f>
        <v>0</v>
      </c>
      <c r="BE85" s="4"/>
      <c r="BF85" s="47"/>
      <c r="BG85" s="47"/>
    </row>
    <row r="86" spans="1:59" ht="29.5" thickBot="1" x14ac:dyDescent="0.4">
      <c r="A86" s="47">
        <v>114</v>
      </c>
      <c r="B86" s="48"/>
      <c r="C86" s="49" t="s">
        <v>123</v>
      </c>
      <c r="D86" s="58" t="s">
        <v>124</v>
      </c>
      <c r="E86" s="14" t="s">
        <v>125</v>
      </c>
      <c r="F86" s="14" t="s">
        <v>126</v>
      </c>
      <c r="G86" s="49" t="s">
        <v>601</v>
      </c>
      <c r="H86" s="50" t="s">
        <v>21</v>
      </c>
      <c r="I86" s="51" t="s">
        <v>20</v>
      </c>
      <c r="J86" s="6">
        <v>4232</v>
      </c>
      <c r="K86" s="6">
        <f>COUNTIF(review1_code,J86)</f>
        <v>3</v>
      </c>
      <c r="L86" s="4" t="str">
        <f>VLOOKUP(J86,review1,10,FALSE)</f>
        <v>TaiNT51</v>
      </c>
      <c r="M86" s="4" t="str">
        <f>VLOOKUP(J86,review1,11,FALSE)</f>
        <v>LongT5</v>
      </c>
      <c r="N86" s="47" t="b">
        <f>OR(EXACT(L86,H86),EXACT(L86,I86),EXACT(M86,H86),EXACT(M86,I86))</f>
        <v>0</v>
      </c>
      <c r="O86" s="52">
        <f>VLOOKUP(J86,review1,7,FALSE)</f>
        <v>46049</v>
      </c>
      <c r="P86" s="52" t="str">
        <f>VLOOKUP(J86,review1,8,FALSE)</f>
        <v>Tue</v>
      </c>
      <c r="Q86" s="47">
        <f>INT(MOD(J86/10,10))</f>
        <v>3</v>
      </c>
      <c r="R86" s="47" t="str">
        <f>VLOOKUP(J86,review1,9,FALSE)</f>
        <v>NVH G.02</v>
      </c>
      <c r="S86" s="47">
        <f>J86+4000</f>
        <v>8232</v>
      </c>
      <c r="T86" s="6">
        <v>8232</v>
      </c>
      <c r="U86" s="6">
        <f>COUNTIF(review2_code,T86)</f>
        <v>3</v>
      </c>
      <c r="V86" s="4" t="str">
        <f>VLOOKUP(T86,review2,10,FALSE)</f>
        <v>TaiNT51</v>
      </c>
      <c r="W86" s="4" t="str">
        <f>VLOOKUP(T86,review2,11,FALSE)</f>
        <v>LongT5</v>
      </c>
      <c r="X86" s="4" t="b">
        <f>OR(EXACT(V86,H86),EXACT(V86,I86),EXACT(W86,H86),EXACT(W86,I86))</f>
        <v>0</v>
      </c>
      <c r="Y86" s="53">
        <f>VLOOKUP(T86,review2,7,FALSE)</f>
        <v>46090</v>
      </c>
      <c r="Z86" s="53" t="str">
        <f>VLOOKUP(T86,review2,8,FALSE)</f>
        <v>Mon</v>
      </c>
      <c r="AA86" s="47">
        <f>INT(MOD(T86/10,10))</f>
        <v>3</v>
      </c>
      <c r="AB86" s="47" t="e">
        <f>VLOOKUP(J86,review2,9,FALSE)</f>
        <v>#N/A</v>
      </c>
      <c r="AC86" s="47"/>
      <c r="AD86" s="6">
        <v>14342</v>
      </c>
      <c r="AE86" s="6">
        <f>COUNTIF(review3_code,AD86)</f>
        <v>3</v>
      </c>
      <c r="AF86" s="54" t="str">
        <f>VLOOKUP(AD86,review3,10,FALSE)</f>
        <v>TriPT9</v>
      </c>
      <c r="AG86" s="54" t="str">
        <f>VLOOKUP(AD86,review3,11,FALSE)</f>
        <v>SangNM18</v>
      </c>
      <c r="AH86" s="47" t="b">
        <f>OR(EXACT(AF86,H86),EXACT(AF86,I86),EXACT(AG86,H86),EXACT(AG86,I86))</f>
        <v>0</v>
      </c>
      <c r="AI86" s="47" t="b">
        <f>OR(EXACT(AF86,V86),EXACT(AF86,W86),EXACT(AG86,V86),EXACT(AG86,W86))</f>
        <v>0</v>
      </c>
      <c r="AJ86" s="53">
        <f>VLOOKUP(AD86,review3,7,FALSE)</f>
        <v>46133</v>
      </c>
      <c r="AK86" s="53" t="str">
        <f>VLOOKUP(AD86,review3,8,FALSE)</f>
        <v>Tue</v>
      </c>
      <c r="AL86" s="47">
        <f>VLOOKUP(AD86,review3,4,FALSE)</f>
        <v>4</v>
      </c>
      <c r="AM86" s="47" t="str">
        <f>VLOOKUP(AD86,review3,9,FALSE)</f>
        <v>NVH.414</v>
      </c>
      <c r="AN86" s="55"/>
      <c r="AO86" t="s">
        <v>688</v>
      </c>
      <c r="AP86" s="56">
        <v>204</v>
      </c>
      <c r="AQ86" s="47" t="str">
        <f>VLOOKUP(AP86,defense1_list,7,FALSE)</f>
        <v>PhuongLHK_PhucNT40_VuLNS_MinhTTH5_ThinhDP2</v>
      </c>
      <c r="AR86" s="57">
        <f>COUNTIF(defense1_forgroup_code,AP86)</f>
        <v>8</v>
      </c>
      <c r="AS86" s="4" t="b">
        <f>ISNUMBER(SEARCH(H86,AQ86))</f>
        <v>0</v>
      </c>
      <c r="AT86" s="4" t="b">
        <f>AND(NOT(ISBLANK(I86)),(ISNUMBER(SEARCH(I86,AQ86))))</f>
        <v>0</v>
      </c>
      <c r="AU86" s="4" t="b">
        <f>(IFERROR(SEARCH(AF86,AQ86),0)+IFERROR(SEARCH(AG86,AQ86),0))&gt;0</f>
        <v>0</v>
      </c>
      <c r="AV86" s="47"/>
      <c r="AW86" s="47"/>
      <c r="AX86" s="47"/>
      <c r="AY86" s="47"/>
      <c r="AZ86" s="128"/>
      <c r="BA86" s="47" t="e">
        <f>VLOOKUP(AZ86,defense2_list,7,FALSE)</f>
        <v>#N/A</v>
      </c>
      <c r="BB86" s="57">
        <f>COUNTIF(defense2_forgroup_code,AZ86)</f>
        <v>0</v>
      </c>
      <c r="BC86" s="4" t="b">
        <f>ISNUMBER(SEARCH(H86,BA86))</f>
        <v>0</v>
      </c>
      <c r="BD86" s="4" t="b">
        <f>AND(NOT(ISBLANK(I86)),(ISNUMBER(SEARCH(I86,AZ86))))</f>
        <v>0</v>
      </c>
      <c r="BE86" s="4"/>
      <c r="BF86" s="47"/>
      <c r="BG86" s="47"/>
    </row>
    <row r="87" spans="1:59" ht="15" thickBot="1" x14ac:dyDescent="0.4">
      <c r="A87" s="47">
        <v>56</v>
      </c>
      <c r="B87" s="48"/>
      <c r="C87" s="49" t="s">
        <v>135</v>
      </c>
      <c r="D87" s="58" t="s">
        <v>136</v>
      </c>
      <c r="E87" s="14" t="s">
        <v>137</v>
      </c>
      <c r="F87" s="14" t="s">
        <v>138</v>
      </c>
      <c r="G87" s="49" t="s">
        <v>90</v>
      </c>
      <c r="H87" s="50" t="s">
        <v>23</v>
      </c>
      <c r="I87" s="51"/>
      <c r="J87" s="6">
        <v>4312</v>
      </c>
      <c r="K87" s="6">
        <f>COUNTIF(review1_code,J87)</f>
        <v>3</v>
      </c>
      <c r="L87" s="4" t="str">
        <f>VLOOKUP(J87,review1,10,FALSE)</f>
        <v>NhanDT35</v>
      </c>
      <c r="M87" s="4" t="str">
        <f>VLOOKUP(J87,review1,11,FALSE)</f>
        <v>SangNM18</v>
      </c>
      <c r="N87" s="47" t="b">
        <f>OR(EXACT(L87,H87),EXACT(L87,I87),EXACT(M87,H87),EXACT(M87,I87))</f>
        <v>0</v>
      </c>
      <c r="O87" s="52">
        <f>VLOOKUP(J87,review1,7,FALSE)</f>
        <v>46050</v>
      </c>
      <c r="P87" s="52" t="str">
        <f>VLOOKUP(J87,review1,8,FALSE)</f>
        <v>Wed</v>
      </c>
      <c r="Q87" s="47">
        <f>INT(MOD(J87/10,10))</f>
        <v>1</v>
      </c>
      <c r="R87" s="47" t="str">
        <f>VLOOKUP(J87,review1,9,FALSE)</f>
        <v>NVH G.01</v>
      </c>
      <c r="S87" s="47">
        <f>J87+4000</f>
        <v>8312</v>
      </c>
      <c r="T87" s="6">
        <v>8312</v>
      </c>
      <c r="U87" s="6">
        <f>COUNTIF(review2_code,T87)</f>
        <v>3</v>
      </c>
      <c r="V87" s="4" t="str">
        <f>VLOOKUP(T87,review2,10,FALSE)</f>
        <v>NhanDT35</v>
      </c>
      <c r="W87" s="4" t="str">
        <f>VLOOKUP(T87,review2,11,FALSE)</f>
        <v>SangNM18</v>
      </c>
      <c r="X87" s="4" t="b">
        <f>OR(EXACT(V87,H87),EXACT(V87,I87),EXACT(W87,H87),EXACT(W87,I87))</f>
        <v>0</v>
      </c>
      <c r="Y87" s="53">
        <f>VLOOKUP(T87,review2,7,FALSE)</f>
        <v>46091</v>
      </c>
      <c r="Z87" s="53" t="str">
        <f>VLOOKUP(T87,review2,8,FALSE)</f>
        <v>Tue</v>
      </c>
      <c r="AA87" s="47">
        <f>INT(MOD(T87/10,10))</f>
        <v>1</v>
      </c>
      <c r="AB87" s="47" t="e">
        <f>VLOOKUP(J87,review2,9,FALSE)</f>
        <v>#N/A</v>
      </c>
      <c r="AC87" s="47"/>
      <c r="AD87" s="6">
        <v>14322</v>
      </c>
      <c r="AE87" s="6">
        <f>COUNTIF(review3_code,AD87)</f>
        <v>3</v>
      </c>
      <c r="AF87" s="54" t="str">
        <f>VLOOKUP(AD87,review3,10,FALSE)</f>
        <v>DucDNM2</v>
      </c>
      <c r="AG87" s="54" t="str">
        <f>VLOOKUP(AD87,review3,11,FALSE)</f>
        <v>VuLNS</v>
      </c>
      <c r="AH87" s="47" t="b">
        <f>OR(EXACT(AF87,H87),EXACT(AF87,I87),EXACT(AG87,H87),EXACT(AG87,I87))</f>
        <v>0</v>
      </c>
      <c r="AI87" s="47" t="b">
        <f>OR(EXACT(AF87,V87),EXACT(AF87,W87),EXACT(AG87,V87),EXACT(AG87,W87))</f>
        <v>0</v>
      </c>
      <c r="AJ87" s="53">
        <f>VLOOKUP(AD87,review3,7,FALSE)</f>
        <v>46133</v>
      </c>
      <c r="AK87" s="53" t="str">
        <f>VLOOKUP(AD87,review3,8,FALSE)</f>
        <v>Tue</v>
      </c>
      <c r="AL87" s="47">
        <f>VLOOKUP(AD87,review3,4,FALSE)</f>
        <v>2</v>
      </c>
      <c r="AM87" s="47" t="str">
        <f>VLOOKUP(AD87,review3,9,FALSE)</f>
        <v>NVH.301</v>
      </c>
      <c r="AN87" s="55"/>
      <c r="AO87" t="s">
        <v>688</v>
      </c>
      <c r="AP87" s="56">
        <v>403</v>
      </c>
      <c r="AQ87" s="47" t="str">
        <f>VLOOKUP(AP87,defense1_list,7,FALSE)</f>
        <v>SuTV_NgocTTM4_HoangNT20_LongT5_DucDNM2</v>
      </c>
      <c r="AR87" s="57">
        <f>COUNTIF(defense1_forgroup_code,AP87)</f>
        <v>7</v>
      </c>
      <c r="AS87" s="4" t="b">
        <f>ISNUMBER(SEARCH(H87,AQ87))</f>
        <v>0</v>
      </c>
      <c r="AT87" s="4" t="b">
        <f>AND(NOT(ISBLANK(I87)),(ISNUMBER(SEARCH(I87,AQ87))))</f>
        <v>0</v>
      </c>
      <c r="AU87" s="4" t="b">
        <f>(IFERROR(SEARCH(AF87,AQ87),0)+IFERROR(SEARCH(AG87,AQ87),0))&gt;0</f>
        <v>1</v>
      </c>
      <c r="AV87" s="47"/>
      <c r="AW87" s="47"/>
      <c r="AX87" s="47"/>
      <c r="AY87" s="47"/>
      <c r="AZ87" s="128"/>
      <c r="BA87" s="47" t="e">
        <f>VLOOKUP(AZ87,defense2_list,7,FALSE)</f>
        <v>#N/A</v>
      </c>
      <c r="BB87" s="57">
        <f>COUNTIF(defense2_forgroup_code,AZ87)</f>
        <v>0</v>
      </c>
      <c r="BC87" s="4" t="b">
        <f>ISNUMBER(SEARCH(H87,BA87))</f>
        <v>0</v>
      </c>
      <c r="BD87" s="4" t="b">
        <f>AND(NOT(ISBLANK(I87)),(ISNUMBER(SEARCH(I87,AZ87))))</f>
        <v>0</v>
      </c>
      <c r="BE87" s="4"/>
      <c r="BF87" s="47"/>
      <c r="BG87" s="47"/>
    </row>
    <row r="88" spans="1:59" ht="15" thickBot="1" x14ac:dyDescent="0.4">
      <c r="A88" s="47">
        <v>27</v>
      </c>
      <c r="B88" s="48"/>
      <c r="C88" s="49" t="s">
        <v>139</v>
      </c>
      <c r="D88" s="58" t="s">
        <v>140</v>
      </c>
      <c r="E88" s="14" t="s">
        <v>141</v>
      </c>
      <c r="F88" s="14" t="s">
        <v>142</v>
      </c>
      <c r="G88" s="49" t="s">
        <v>79</v>
      </c>
      <c r="H88" s="50" t="s">
        <v>638</v>
      </c>
      <c r="I88" s="51"/>
      <c r="J88" s="6">
        <v>3533</v>
      </c>
      <c r="K88" s="6">
        <f>COUNTIF(review1_code,J88)</f>
        <v>3</v>
      </c>
      <c r="L88" s="4" t="str">
        <f>VLOOKUP(J88,review1,10,FALSE)</f>
        <v>PhuongLHK</v>
      </c>
      <c r="M88" s="4" t="str">
        <f>VLOOKUP(J88,review1,11,FALSE)</f>
        <v>MinhTTH5</v>
      </c>
      <c r="N88" s="47" t="b">
        <f>OR(EXACT(L88,H88),EXACT(L88,I88),EXACT(M88,H88),EXACT(M88,I88))</f>
        <v>0</v>
      </c>
      <c r="O88" s="52">
        <f>VLOOKUP(J88,review1,7,FALSE)</f>
        <v>46045</v>
      </c>
      <c r="P88" s="52" t="str">
        <f>VLOOKUP(J88,review1,8,FALSE)</f>
        <v>Fri</v>
      </c>
      <c r="Q88" s="47">
        <f>INT(MOD(J88/10,10))</f>
        <v>3</v>
      </c>
      <c r="R88" s="47" t="str">
        <f>VLOOKUP(J88,review1,9,FALSE)</f>
        <v>NVH G.05</v>
      </c>
      <c r="S88" s="47">
        <f>J88+4000</f>
        <v>7533</v>
      </c>
      <c r="T88" s="6">
        <v>7533</v>
      </c>
      <c r="U88" s="6">
        <f>COUNTIF(review2_code,T88)</f>
        <v>3</v>
      </c>
      <c r="V88" s="4" t="str">
        <f>VLOOKUP(T88,review2,10,FALSE)</f>
        <v>PhuongLHK</v>
      </c>
      <c r="W88" s="4" t="str">
        <f>VLOOKUP(T88,review2,11,FALSE)</f>
        <v>MinhTTH5</v>
      </c>
      <c r="X88" s="4" t="b">
        <f>OR(EXACT(V88,H88),EXACT(V88,I88),EXACT(W88,H88),EXACT(W88,I88))</f>
        <v>0</v>
      </c>
      <c r="Y88" s="53">
        <f>VLOOKUP(T88,review2,7,FALSE)</f>
        <v>46086</v>
      </c>
      <c r="Z88" s="53" t="str">
        <f>VLOOKUP(T88,review2,8,FALSE)</f>
        <v>Thu</v>
      </c>
      <c r="AA88" s="47">
        <f>INT(MOD(T88/10,10))</f>
        <v>3</v>
      </c>
      <c r="AB88" s="47" t="e">
        <f>VLOOKUP(J88,review2,9,FALSE)</f>
        <v>#N/A</v>
      </c>
      <c r="AC88" s="47"/>
      <c r="AD88" s="6">
        <v>14441</v>
      </c>
      <c r="AE88" s="6">
        <f>COUNTIF(review3_code,AD88)</f>
        <v>3</v>
      </c>
      <c r="AF88" s="54" t="str">
        <f>VLOOKUP(AD88,review3,10,FALSE)</f>
        <v>TaiNT51</v>
      </c>
      <c r="AG88" s="54" t="str">
        <f>VLOOKUP(AD88,review3,11,FALSE)</f>
        <v>HoangNT20</v>
      </c>
      <c r="AH88" s="47" t="b">
        <f>OR(EXACT(AF88,H88),EXACT(AF88,I88),EXACT(AG88,H88),EXACT(AG88,I88))</f>
        <v>0</v>
      </c>
      <c r="AI88" s="47" t="b">
        <f>OR(EXACT(AF88,V88),EXACT(AF88,W88),EXACT(AG88,V88),EXACT(AG88,W88))</f>
        <v>0</v>
      </c>
      <c r="AJ88" s="53">
        <f>VLOOKUP(AD88,review3,7,FALSE)</f>
        <v>46134</v>
      </c>
      <c r="AK88" s="53" t="str">
        <f>VLOOKUP(AD88,review3,8,FALSE)</f>
        <v>Wed</v>
      </c>
      <c r="AL88" s="47">
        <f>VLOOKUP(AD88,review3,4,FALSE)</f>
        <v>4</v>
      </c>
      <c r="AM88" s="47" t="str">
        <f>VLOOKUP(AD88,review3,9,FALSE)</f>
        <v>NVH.415</v>
      </c>
      <c r="AN88" s="55"/>
      <c r="AO88" t="s">
        <v>688</v>
      </c>
      <c r="AP88" s="56">
        <v>302</v>
      </c>
      <c r="AQ88" s="47" t="str">
        <f>VLOOKUP(AP88,defense1_list,7,FALSE)</f>
        <v>TaiNT51_QuynhTNN4_AnNDH2_MinhTTH5_TruongLV11</v>
      </c>
      <c r="AR88" s="57">
        <f>COUNTIF(defense1_forgroup_code,AP88)</f>
        <v>8</v>
      </c>
      <c r="AS88" s="4" t="b">
        <f>ISNUMBER(SEARCH(H88,AQ88))</f>
        <v>0</v>
      </c>
      <c r="AT88" s="4" t="b">
        <f>AND(NOT(ISBLANK(I88)),(ISNUMBER(SEARCH(I88,AQ88))))</f>
        <v>0</v>
      </c>
      <c r="AU88" s="4" t="b">
        <f>(IFERROR(SEARCH(AF88,AQ88),0)+IFERROR(SEARCH(AG88,AQ88),0))&gt;0</f>
        <v>1</v>
      </c>
      <c r="AV88" s="47"/>
      <c r="AW88" s="47"/>
      <c r="AX88" s="47"/>
      <c r="AY88" s="47"/>
      <c r="AZ88" s="128"/>
      <c r="BA88" s="47" t="e">
        <f>VLOOKUP(AZ88,defense2_list,7,FALSE)</f>
        <v>#N/A</v>
      </c>
      <c r="BB88" s="57">
        <f>COUNTIF(defense2_forgroup_code,AZ88)</f>
        <v>0</v>
      </c>
      <c r="BC88" s="4" t="b">
        <f>ISNUMBER(SEARCH(H88,BA88))</f>
        <v>0</v>
      </c>
      <c r="BD88" s="4" t="b">
        <f>AND(NOT(ISBLANK(I88)),(ISNUMBER(SEARCH(I88,AZ88))))</f>
        <v>0</v>
      </c>
      <c r="BE88" s="4"/>
      <c r="BF88" s="47"/>
      <c r="BG88" s="47"/>
    </row>
    <row r="89" spans="1:59" ht="15" thickBot="1" x14ac:dyDescent="0.4">
      <c r="A89" s="47">
        <v>110</v>
      </c>
      <c r="B89" s="48"/>
      <c r="C89" s="49" t="s">
        <v>143</v>
      </c>
      <c r="D89" s="58" t="s">
        <v>144</v>
      </c>
      <c r="E89" s="14" t="s">
        <v>145</v>
      </c>
      <c r="F89" s="14" t="s">
        <v>146</v>
      </c>
      <c r="G89" s="49" t="s">
        <v>90</v>
      </c>
      <c r="H89" s="50" t="s">
        <v>23</v>
      </c>
      <c r="I89" s="51"/>
      <c r="J89" s="6">
        <v>4321</v>
      </c>
      <c r="K89" s="6">
        <f>COUNTIF(review1_code,J89)</f>
        <v>3</v>
      </c>
      <c r="L89" s="4" t="str">
        <f>VLOOKUP(J89,review1,10,FALSE)</f>
        <v>TaiNT51</v>
      </c>
      <c r="M89" s="4" t="str">
        <f>VLOOKUP(J89,review1,11,FALSE)</f>
        <v>NguyenTT15</v>
      </c>
      <c r="N89" s="47" t="b">
        <f>OR(EXACT(L89,H89),EXACT(L89,I89),EXACT(M89,H89),EXACT(M89,I89))</f>
        <v>0</v>
      </c>
      <c r="O89" s="52">
        <f>VLOOKUP(J89,review1,7,FALSE)</f>
        <v>46050</v>
      </c>
      <c r="P89" s="52" t="str">
        <f>VLOOKUP(J89,review1,8,FALSE)</f>
        <v>Wed</v>
      </c>
      <c r="Q89" s="47">
        <f>INT(MOD(J89/10,10))</f>
        <v>2</v>
      </c>
      <c r="R89" s="47" t="str">
        <f>VLOOKUP(J89,review1,9,FALSE)</f>
        <v>NVH G.02</v>
      </c>
      <c r="S89" s="47">
        <f>J89+4000</f>
        <v>8321</v>
      </c>
      <c r="T89" s="6">
        <v>8321</v>
      </c>
      <c r="U89" s="6">
        <f>COUNTIF(review2_code,T89)</f>
        <v>3</v>
      </c>
      <c r="V89" s="4" t="str">
        <f>VLOOKUP(T89,review2,10,FALSE)</f>
        <v>TaiNT51</v>
      </c>
      <c r="W89" s="4" t="str">
        <f>VLOOKUP(T89,review2,11,FALSE)</f>
        <v>NguyenTT15</v>
      </c>
      <c r="X89" s="4" t="b">
        <f>OR(EXACT(V89,H89),EXACT(V89,I89),EXACT(W89,H89),EXACT(W89,I89))</f>
        <v>0</v>
      </c>
      <c r="Y89" s="53">
        <f>VLOOKUP(T89,review2,7,FALSE)</f>
        <v>46091</v>
      </c>
      <c r="Z89" s="53" t="str">
        <f>VLOOKUP(T89,review2,8,FALSE)</f>
        <v>Tue</v>
      </c>
      <c r="AA89" s="47">
        <f>INT(MOD(T89/10,10))</f>
        <v>2</v>
      </c>
      <c r="AB89" s="47" t="e">
        <f>VLOOKUP(J89,review2,9,FALSE)</f>
        <v>#N/A</v>
      </c>
      <c r="AC89" s="47"/>
      <c r="AD89" s="6">
        <v>14432</v>
      </c>
      <c r="AE89" s="6">
        <f>COUNTIF(review3_code,AD89)</f>
        <v>3</v>
      </c>
      <c r="AF89" s="54" t="str">
        <f>VLOOKUP(AD89,review3,10,FALSE)</f>
        <v>HoangNT20</v>
      </c>
      <c r="AG89" s="54" t="str">
        <f>VLOOKUP(AD89,review3,11,FALSE)</f>
        <v>NhanDT35</v>
      </c>
      <c r="AH89" s="47" t="b">
        <f>OR(EXACT(AF89,H89),EXACT(AF89,I89),EXACT(AG89,H89),EXACT(AG89,I89))</f>
        <v>0</v>
      </c>
      <c r="AI89" s="47" t="b">
        <f>OR(EXACT(AF89,V89),EXACT(AF89,W89),EXACT(AG89,V89),EXACT(AG89,W89))</f>
        <v>0</v>
      </c>
      <c r="AJ89" s="53">
        <f>VLOOKUP(AD89,review3,7,FALSE)</f>
        <v>46134</v>
      </c>
      <c r="AK89" s="53" t="str">
        <f>VLOOKUP(AD89,review3,8,FALSE)</f>
        <v>Wed</v>
      </c>
      <c r="AL89" s="47">
        <f>VLOOKUP(AD89,review3,4,FALSE)</f>
        <v>3</v>
      </c>
      <c r="AM89" s="47" t="str">
        <f>VLOOKUP(AD89,review3,9,FALSE)</f>
        <v>NVH.306</v>
      </c>
      <c r="AN89" s="55"/>
      <c r="AO89" t="s">
        <v>688</v>
      </c>
      <c r="AP89" s="56">
        <v>104</v>
      </c>
      <c r="AQ89" s="47" t="str">
        <f>VLOOKUP(AP89,defense1_list,7,FALSE)</f>
        <v>PhuongLHK_NguyenTT15_NhanDT35_TriPT9_ThinhDP2</v>
      </c>
      <c r="AR89" s="57">
        <f>COUNTIF(defense1_forgroup_code,AP89)</f>
        <v>7</v>
      </c>
      <c r="AS89" s="4" t="b">
        <f>ISNUMBER(SEARCH(H89,AQ89))</f>
        <v>0</v>
      </c>
      <c r="AT89" s="4" t="b">
        <f>AND(NOT(ISBLANK(I89)),(ISNUMBER(SEARCH(I89,AQ89))))</f>
        <v>0</v>
      </c>
      <c r="AU89" s="4" t="b">
        <f>(IFERROR(SEARCH(AF89,AQ89),0)+IFERROR(SEARCH(AG89,AQ89),0))&gt;0</f>
        <v>1</v>
      </c>
      <c r="AV89" s="47"/>
      <c r="AW89" s="47"/>
      <c r="AX89" s="47"/>
      <c r="AY89" s="47"/>
      <c r="AZ89" s="128"/>
      <c r="BA89" s="47" t="e">
        <f>VLOOKUP(AZ89,defense2_list,7,FALSE)</f>
        <v>#N/A</v>
      </c>
      <c r="BB89" s="57">
        <f>COUNTIF(defense2_forgroup_code,AZ89)</f>
        <v>0</v>
      </c>
      <c r="BC89" s="4" t="b">
        <f>ISNUMBER(SEARCH(H89,BA89))</f>
        <v>0</v>
      </c>
      <c r="BD89" s="4" t="b">
        <f>AND(NOT(ISBLANK(I89)),(ISNUMBER(SEARCH(I89,AZ89))))</f>
        <v>0</v>
      </c>
      <c r="BE89" s="4"/>
      <c r="BF89" s="47"/>
      <c r="BG89" s="47"/>
    </row>
    <row r="90" spans="1:59" ht="15" thickBot="1" x14ac:dyDescent="0.4">
      <c r="A90" s="47">
        <v>3</v>
      </c>
      <c r="B90" s="48"/>
      <c r="C90" s="49" t="s">
        <v>155</v>
      </c>
      <c r="D90" s="58" t="s">
        <v>156</v>
      </c>
      <c r="E90" s="14" t="s">
        <v>157</v>
      </c>
      <c r="F90" s="14" t="s">
        <v>158</v>
      </c>
      <c r="G90" s="49" t="s">
        <v>90</v>
      </c>
      <c r="H90" s="50" t="s">
        <v>23</v>
      </c>
      <c r="I90" s="51"/>
      <c r="J90" s="6">
        <v>4342</v>
      </c>
      <c r="K90" s="6">
        <f>COUNTIF(review1_code,J90)</f>
        <v>3</v>
      </c>
      <c r="L90" s="4" t="str">
        <f>VLOOKUP(J90,review1,10,FALSE)</f>
        <v>TamPM</v>
      </c>
      <c r="M90" s="4" t="str">
        <f>VLOOKUP(J90,review1,11,FALSE)</f>
        <v>TriPT9</v>
      </c>
      <c r="N90" s="47" t="b">
        <f>OR(EXACT(L90,H90),EXACT(L90,I90),EXACT(M90,H90),EXACT(M90,I90))</f>
        <v>0</v>
      </c>
      <c r="O90" s="52">
        <f>VLOOKUP(J90,review1,7,FALSE)</f>
        <v>46050</v>
      </c>
      <c r="P90" s="52" t="str">
        <f>VLOOKUP(J90,review1,8,FALSE)</f>
        <v>Wed</v>
      </c>
      <c r="Q90" s="47">
        <f>INT(MOD(J90/10,10))</f>
        <v>4</v>
      </c>
      <c r="R90" s="47" t="str">
        <f>VLOOKUP(J90,review1,9,FALSE)</f>
        <v>NVH G.02</v>
      </c>
      <c r="S90" s="47">
        <f>J90+4000</f>
        <v>8342</v>
      </c>
      <c r="T90" s="6">
        <v>8342</v>
      </c>
      <c r="U90" s="6">
        <f>COUNTIF(review2_code,T90)</f>
        <v>3</v>
      </c>
      <c r="V90" s="4" t="str">
        <f>VLOOKUP(T90,review2,10,FALSE)</f>
        <v>TamPM</v>
      </c>
      <c r="W90" s="4" t="str">
        <f>VLOOKUP(T90,review2,11,FALSE)</f>
        <v>TriPT9</v>
      </c>
      <c r="X90" s="4" t="b">
        <f>OR(EXACT(V90,H90),EXACT(V90,I90),EXACT(W90,H90),EXACT(W90,I90))</f>
        <v>0</v>
      </c>
      <c r="Y90" s="53">
        <f>VLOOKUP(T90,review2,7,FALSE)</f>
        <v>46091</v>
      </c>
      <c r="Z90" s="53" t="str">
        <f>VLOOKUP(T90,review2,8,FALSE)</f>
        <v>Tue</v>
      </c>
      <c r="AA90" s="47">
        <f>INT(MOD(T90/10,10))</f>
        <v>4</v>
      </c>
      <c r="AB90" s="47" t="e">
        <f>VLOOKUP(J90,review2,9,FALSE)</f>
        <v>#N/A</v>
      </c>
      <c r="AC90" s="47"/>
      <c r="AD90" s="6">
        <v>14551</v>
      </c>
      <c r="AE90" s="6">
        <f>COUNTIF(review3_code,AD90)</f>
        <v>3</v>
      </c>
      <c r="AF90" s="54" t="str">
        <f>VLOOKUP(AD90,review3,10,FALSE)</f>
        <v>PhuongLHK</v>
      </c>
      <c r="AG90" s="54" t="str">
        <f>VLOOKUP(AD90,review3,11,FALSE)</f>
        <v>NhanDT35</v>
      </c>
      <c r="AH90" s="47" t="b">
        <f>OR(EXACT(AF90,H90),EXACT(AF90,I90),EXACT(AG90,H90),EXACT(AG90,I90))</f>
        <v>0</v>
      </c>
      <c r="AI90" s="47" t="b">
        <f>OR(EXACT(AF90,V90),EXACT(AF90,W90),EXACT(AG90,V90),EXACT(AG90,W90))</f>
        <v>0</v>
      </c>
      <c r="AJ90" s="53">
        <f>VLOOKUP(AD90,review3,7,FALSE)</f>
        <v>46135</v>
      </c>
      <c r="AK90" s="53" t="str">
        <f>VLOOKUP(AD90,review3,8,FALSE)</f>
        <v>Thu</v>
      </c>
      <c r="AL90" s="47">
        <f>VLOOKUP(AD90,review3,4,FALSE)</f>
        <v>5</v>
      </c>
      <c r="AM90" s="47" t="str">
        <f>VLOOKUP(AD90,review3,9,FALSE)</f>
        <v>NVH.301</v>
      </c>
      <c r="AN90" s="55"/>
      <c r="AO90" t="s">
        <v>688</v>
      </c>
      <c r="AP90" s="56">
        <v>104</v>
      </c>
      <c r="AQ90" s="47" t="str">
        <f>VLOOKUP(AP90,defense1_list,7,FALSE)</f>
        <v>PhuongLHK_NguyenTT15_NhanDT35_TriPT9_ThinhDP2</v>
      </c>
      <c r="AR90" s="57">
        <f>COUNTIF(defense1_forgroup_code,AP90)</f>
        <v>7</v>
      </c>
      <c r="AS90" s="4" t="b">
        <f>ISNUMBER(SEARCH(H90,AQ90))</f>
        <v>0</v>
      </c>
      <c r="AT90" s="4" t="b">
        <f>AND(NOT(ISBLANK(I90)),(ISNUMBER(SEARCH(I90,AQ90))))</f>
        <v>0</v>
      </c>
      <c r="AU90" s="4" t="b">
        <f>(IFERROR(SEARCH(AF90,AQ90),0)+IFERROR(SEARCH(AG90,AQ90),0))&gt;0</f>
        <v>1</v>
      </c>
      <c r="AV90" s="47"/>
      <c r="AW90" s="47"/>
      <c r="AX90" s="47"/>
      <c r="AY90" s="47"/>
      <c r="AZ90" s="128"/>
      <c r="BA90" s="47" t="e">
        <f>VLOOKUP(AZ90,defense2_list,7,FALSE)</f>
        <v>#N/A</v>
      </c>
      <c r="BB90" s="57">
        <f>COUNTIF(defense2_forgroup_code,AZ90)</f>
        <v>0</v>
      </c>
      <c r="BC90" s="4" t="b">
        <f>ISNUMBER(SEARCH(H90,BA90))</f>
        <v>0</v>
      </c>
      <c r="BD90" s="4" t="b">
        <f>AND(NOT(ISBLANK(I90)),(ISNUMBER(SEARCH(I90,AZ90))))</f>
        <v>0</v>
      </c>
      <c r="BE90" s="4"/>
      <c r="BF90" s="47"/>
      <c r="BG90" s="47"/>
    </row>
    <row r="91" spans="1:59" ht="15" thickBot="1" x14ac:dyDescent="0.4">
      <c r="A91" s="47">
        <v>15</v>
      </c>
      <c r="B91" s="48"/>
      <c r="C91" s="49" t="s">
        <v>159</v>
      </c>
      <c r="D91" s="58" t="s">
        <v>160</v>
      </c>
      <c r="E91" s="14" t="s">
        <v>161</v>
      </c>
      <c r="F91" s="14" t="s">
        <v>162</v>
      </c>
      <c r="G91" s="49" t="s">
        <v>89</v>
      </c>
      <c r="H91" s="50" t="s">
        <v>12</v>
      </c>
      <c r="I91" s="51"/>
      <c r="J91" s="6">
        <v>4531</v>
      </c>
      <c r="K91" s="6">
        <f>COUNTIF(review1_code,J91)</f>
        <v>3</v>
      </c>
      <c r="L91" s="4" t="str">
        <f>VLOOKUP(J91,review1,10,FALSE)</f>
        <v>PhuongLHK</v>
      </c>
      <c r="M91" s="4" t="str">
        <f>VLOOKUP(J91,review1,11,FALSE)</f>
        <v>LongT5</v>
      </c>
      <c r="N91" s="47" t="b">
        <f>OR(EXACT(L91,H91),EXACT(L91,I91),EXACT(M91,H91),EXACT(M91,I91))</f>
        <v>0</v>
      </c>
      <c r="O91" s="52">
        <f>VLOOKUP(J91,review1,7,FALSE)</f>
        <v>46052</v>
      </c>
      <c r="P91" s="52" t="str">
        <f>VLOOKUP(J91,review1,8,FALSE)</f>
        <v>Fri</v>
      </c>
      <c r="Q91" s="47">
        <f>INT(MOD(J91/10,10))</f>
        <v>3</v>
      </c>
      <c r="R91" s="47" t="str">
        <f>VLOOKUP(J91,review1,9,FALSE)</f>
        <v>NVH G.01</v>
      </c>
      <c r="S91" s="47">
        <f>J91+4000</f>
        <v>8531</v>
      </c>
      <c r="T91" s="6">
        <v>8531</v>
      </c>
      <c r="U91" s="6">
        <f>COUNTIF(review2_code,T91)</f>
        <v>3</v>
      </c>
      <c r="V91" s="4" t="str">
        <f>VLOOKUP(T91,review2,10,FALSE)</f>
        <v>PhuongLHK</v>
      </c>
      <c r="W91" s="4" t="str">
        <f>VLOOKUP(T91,review2,11,FALSE)</f>
        <v>LongT5</v>
      </c>
      <c r="X91" s="4" t="b">
        <f>OR(EXACT(V91,H91),EXACT(V91,I91),EXACT(W91,H91),EXACT(W91,I91))</f>
        <v>0</v>
      </c>
      <c r="Y91" s="53">
        <f>VLOOKUP(T91,review2,7,FALSE)</f>
        <v>46093</v>
      </c>
      <c r="Z91" s="53" t="str">
        <f>VLOOKUP(T91,review2,8,FALSE)</f>
        <v>Thu</v>
      </c>
      <c r="AA91" s="47">
        <f>INT(MOD(T91/10,10))</f>
        <v>3</v>
      </c>
      <c r="AB91" s="47" t="e">
        <f>VLOOKUP(J91,review2,9,FALSE)</f>
        <v>#N/A</v>
      </c>
      <c r="AC91" s="47"/>
      <c r="AD91" s="6">
        <v>14323</v>
      </c>
      <c r="AE91" s="6">
        <f>COUNTIF(review3_code,AD91)</f>
        <v>3</v>
      </c>
      <c r="AF91" s="54" t="str">
        <f>VLOOKUP(AD91,review3,10,FALSE)</f>
        <v>HuongNTC2</v>
      </c>
      <c r="AG91" s="54" t="str">
        <f>VLOOKUP(AD91,review3,11,FALSE)</f>
        <v>VanTTN2</v>
      </c>
      <c r="AH91" s="47" t="b">
        <f>OR(EXACT(AF91,H91),EXACT(AF91,I91),EXACT(AG91,H91),EXACT(AG91,I91))</f>
        <v>0</v>
      </c>
      <c r="AI91" s="47" t="b">
        <f>OR(EXACT(AF91,V91),EXACT(AF91,W91),EXACT(AG91,V91),EXACT(AG91,W91))</f>
        <v>0</v>
      </c>
      <c r="AJ91" s="53">
        <f>VLOOKUP(AD91,review3,7,FALSE)</f>
        <v>46133</v>
      </c>
      <c r="AK91" s="53" t="str">
        <f>VLOOKUP(AD91,review3,8,FALSE)</f>
        <v>Tue</v>
      </c>
      <c r="AL91" s="47">
        <f>VLOOKUP(AD91,review3,4,FALSE)</f>
        <v>2</v>
      </c>
      <c r="AM91" s="47" t="str">
        <f>VLOOKUP(AD91,review3,9,FALSE)</f>
        <v>NVH.414</v>
      </c>
      <c r="AN91" s="55"/>
      <c r="AO91" t="s">
        <v>688</v>
      </c>
      <c r="AP91" s="56">
        <v>401</v>
      </c>
      <c r="AQ91" s="47" t="str">
        <f>VLOOKUP(AP91,defense1_list,7,FALSE)</f>
        <v>HuongNTC2_NguyenTT15_SangNM18_VanTTN2_ThinhDP2</v>
      </c>
      <c r="AR91" s="57">
        <f>COUNTIF(defense1_forgroup_code,AP91)</f>
        <v>7</v>
      </c>
      <c r="AS91" s="4" t="b">
        <f>ISNUMBER(SEARCH(H91,AQ91))</f>
        <v>0</v>
      </c>
      <c r="AT91" s="4" t="b">
        <f>AND(NOT(ISBLANK(I91)),(ISNUMBER(SEARCH(I91,AQ91))))</f>
        <v>0</v>
      </c>
      <c r="AU91" s="4" t="b">
        <f>(IFERROR(SEARCH(AF91,AQ91),0)+IFERROR(SEARCH(AG91,AQ91),0))&gt;0</f>
        <v>1</v>
      </c>
      <c r="AV91" s="47"/>
      <c r="AW91" s="47"/>
      <c r="AX91" s="47"/>
      <c r="AY91" s="47"/>
      <c r="AZ91" s="128"/>
      <c r="BA91" s="47" t="e">
        <f>VLOOKUP(AZ91,defense2_list,7,FALSE)</f>
        <v>#N/A</v>
      </c>
      <c r="BB91" s="57">
        <f>COUNTIF(defense2_forgroup_code,AZ91)</f>
        <v>0</v>
      </c>
      <c r="BC91" s="4" t="b">
        <f>ISNUMBER(SEARCH(H91,BA91))</f>
        <v>0</v>
      </c>
      <c r="BD91" s="4" t="b">
        <f>AND(NOT(ISBLANK(I91)),(ISNUMBER(SEARCH(I91,AZ91))))</f>
        <v>0</v>
      </c>
      <c r="BE91" s="4"/>
      <c r="BF91" s="47"/>
      <c r="BG91" s="47"/>
    </row>
    <row r="92" spans="1:59" ht="15" thickBot="1" x14ac:dyDescent="0.4">
      <c r="A92" s="47">
        <v>19</v>
      </c>
      <c r="B92" s="48"/>
      <c r="C92" s="49" t="s">
        <v>163</v>
      </c>
      <c r="D92" s="58" t="s">
        <v>164</v>
      </c>
      <c r="E92" s="14" t="s">
        <v>602</v>
      </c>
      <c r="F92" s="14" t="s">
        <v>165</v>
      </c>
      <c r="G92" s="49" t="s">
        <v>89</v>
      </c>
      <c r="H92" s="50" t="s">
        <v>12</v>
      </c>
      <c r="I92" s="51"/>
      <c r="J92" s="6">
        <v>4531</v>
      </c>
      <c r="K92" s="6">
        <f>COUNTIF(review1_code,J92)</f>
        <v>3</v>
      </c>
      <c r="L92" s="4" t="str">
        <f>VLOOKUP(J92,review1,10,FALSE)</f>
        <v>PhuongLHK</v>
      </c>
      <c r="M92" s="4" t="str">
        <f>VLOOKUP(J92,review1,11,FALSE)</f>
        <v>LongT5</v>
      </c>
      <c r="N92" s="47" t="b">
        <f>OR(EXACT(L92,H92),EXACT(L92,I92),EXACT(M92,H92),EXACT(M92,I92))</f>
        <v>0</v>
      </c>
      <c r="O92" s="52">
        <f>VLOOKUP(J92,review1,7,FALSE)</f>
        <v>46052</v>
      </c>
      <c r="P92" s="52" t="str">
        <f>VLOOKUP(J92,review1,8,FALSE)</f>
        <v>Fri</v>
      </c>
      <c r="Q92" s="47">
        <f>INT(MOD(J92/10,10))</f>
        <v>3</v>
      </c>
      <c r="R92" s="47" t="str">
        <f>VLOOKUP(J92,review1,9,FALSE)</f>
        <v>NVH G.01</v>
      </c>
      <c r="S92" s="47">
        <f>J92+4000</f>
        <v>8531</v>
      </c>
      <c r="T92" s="6">
        <v>8531</v>
      </c>
      <c r="U92" s="6">
        <f>COUNTIF(review2_code,T92)</f>
        <v>3</v>
      </c>
      <c r="V92" s="4" t="str">
        <f>VLOOKUP(T92,review2,10,FALSE)</f>
        <v>PhuongLHK</v>
      </c>
      <c r="W92" s="4" t="str">
        <f>VLOOKUP(T92,review2,11,FALSE)</f>
        <v>LongT5</v>
      </c>
      <c r="X92" s="4" t="b">
        <f>OR(EXACT(V92,H92),EXACT(V92,I92),EXACT(W92,H92),EXACT(W92,I92))</f>
        <v>0</v>
      </c>
      <c r="Y92" s="53">
        <f>VLOOKUP(T92,review2,7,FALSE)</f>
        <v>46093</v>
      </c>
      <c r="Z92" s="53" t="str">
        <f>VLOOKUP(T92,review2,8,FALSE)</f>
        <v>Thu</v>
      </c>
      <c r="AA92" s="47">
        <f>INT(MOD(T92/10,10))</f>
        <v>3</v>
      </c>
      <c r="AB92" s="47" t="e">
        <f>VLOOKUP(J92,review2,9,FALSE)</f>
        <v>#N/A</v>
      </c>
      <c r="AC92" s="47"/>
      <c r="AD92" s="6">
        <v>14242</v>
      </c>
      <c r="AE92" s="6">
        <f>COUNTIF(review3_code,AD92)</f>
        <v>3</v>
      </c>
      <c r="AF92" s="54" t="str">
        <f>VLOOKUP(AD92,review3,10,FALSE)</f>
        <v>HuongNTC2</v>
      </c>
      <c r="AG92" s="54" t="str">
        <f>VLOOKUP(AD92,review3,11,FALSE)</f>
        <v>SangNM18</v>
      </c>
      <c r="AH92" s="47" t="b">
        <f>OR(EXACT(AF92,H92),EXACT(AF92,I92),EXACT(AG92,H92),EXACT(AG92,I92))</f>
        <v>0</v>
      </c>
      <c r="AI92" s="47" t="b">
        <f>OR(EXACT(AF92,V92),EXACT(AF92,W92),EXACT(AG92,V92),EXACT(AG92,W92))</f>
        <v>0</v>
      </c>
      <c r="AJ92" s="53">
        <f>VLOOKUP(AD92,review3,7,FALSE)</f>
        <v>46132</v>
      </c>
      <c r="AK92" s="53" t="str">
        <f>VLOOKUP(AD92,review3,8,FALSE)</f>
        <v>Mon</v>
      </c>
      <c r="AL92" s="47">
        <f>VLOOKUP(AD92,review3,4,FALSE)</f>
        <v>4</v>
      </c>
      <c r="AM92" s="47" t="str">
        <f>VLOOKUP(AD92,review3,9,FALSE)</f>
        <v>NVH.414</v>
      </c>
      <c r="AN92" s="55"/>
      <c r="AO92" t="s">
        <v>688</v>
      </c>
      <c r="AP92" s="56">
        <v>301</v>
      </c>
      <c r="AQ92" s="47" t="str">
        <f>VLOOKUP(AP92,defense1_list,7,FALSE)</f>
        <v>HuongNTC2_VanTTN2_TamPM_LinhNV (Long Chau)_LamNN15</v>
      </c>
      <c r="AR92" s="57">
        <f>COUNTIF(defense1_forgroup_code,AP92)</f>
        <v>7</v>
      </c>
      <c r="AS92" s="4" t="b">
        <f>ISNUMBER(SEARCH(H92,AQ92))</f>
        <v>0</v>
      </c>
      <c r="AT92" s="4" t="b">
        <f>AND(NOT(ISBLANK(I92)),(ISNUMBER(SEARCH(I92,AQ92))))</f>
        <v>0</v>
      </c>
      <c r="AU92" s="4" t="b">
        <f>(IFERROR(SEARCH(AF92,AQ92),0)+IFERROR(SEARCH(AG92,AQ92),0))&gt;0</f>
        <v>1</v>
      </c>
      <c r="AV92" s="47"/>
      <c r="AW92" s="47"/>
      <c r="AX92" s="47"/>
      <c r="AY92" s="47"/>
      <c r="AZ92" s="128"/>
      <c r="BA92" s="47" t="e">
        <f>VLOOKUP(AZ92,defense2_list,7,FALSE)</f>
        <v>#N/A</v>
      </c>
      <c r="BB92" s="57">
        <f>COUNTIF(defense2_forgroup_code,AZ92)</f>
        <v>0</v>
      </c>
      <c r="BC92" s="4" t="b">
        <f>ISNUMBER(SEARCH(H92,BA92))</f>
        <v>0</v>
      </c>
      <c r="BD92" s="4" t="b">
        <f>AND(NOT(ISBLANK(I92)),(ISNUMBER(SEARCH(I92,AZ92))))</f>
        <v>0</v>
      </c>
      <c r="BE92" s="4"/>
      <c r="BF92" s="47"/>
      <c r="BG92" s="47"/>
    </row>
    <row r="93" spans="1:59" ht="29.5" thickBot="1" x14ac:dyDescent="0.4">
      <c r="A93" s="47">
        <v>26</v>
      </c>
      <c r="B93" s="48"/>
      <c r="C93" s="49" t="s">
        <v>170</v>
      </c>
      <c r="D93" s="58" t="s">
        <v>171</v>
      </c>
      <c r="E93" s="14" t="s">
        <v>172</v>
      </c>
      <c r="F93" s="14" t="s">
        <v>173</v>
      </c>
      <c r="G93" s="49" t="s">
        <v>603</v>
      </c>
      <c r="H93" s="50" t="s">
        <v>76</v>
      </c>
      <c r="I93" s="51" t="s">
        <v>77</v>
      </c>
      <c r="J93" s="6">
        <v>3421</v>
      </c>
      <c r="K93" s="6">
        <f>COUNTIF(review1_code,J93)</f>
        <v>3</v>
      </c>
      <c r="L93" s="4" t="str">
        <f>VLOOKUP(J93,review1,10,FALSE)</f>
        <v>TaiNT51</v>
      </c>
      <c r="M93" s="4" t="str">
        <f>VLOOKUP(J93,review1,11,FALSE)</f>
        <v>NhanDT35</v>
      </c>
      <c r="N93" s="47" t="b">
        <f>OR(EXACT(L93,H93),EXACT(L93,I93),EXACT(M93,H93),EXACT(M93,I93))</f>
        <v>0</v>
      </c>
      <c r="O93" s="52">
        <f>VLOOKUP(J93,review1,7,FALSE)</f>
        <v>46044</v>
      </c>
      <c r="P93" s="52" t="str">
        <f>VLOOKUP(J93,review1,8,FALSE)</f>
        <v>Thu</v>
      </c>
      <c r="Q93" s="47">
        <f>INT(MOD(J93/10,10))</f>
        <v>2</v>
      </c>
      <c r="R93" s="47" t="str">
        <f>VLOOKUP(J93,review1,9,FALSE)</f>
        <v>NVH G.01</v>
      </c>
      <c r="S93" s="47">
        <f>J93+4000</f>
        <v>7421</v>
      </c>
      <c r="T93" s="6">
        <v>7421</v>
      </c>
      <c r="U93" s="6">
        <f>COUNTIF(review2_code,T93)</f>
        <v>3</v>
      </c>
      <c r="V93" s="4" t="str">
        <f>VLOOKUP(T93,review2,10,FALSE)</f>
        <v>TaiNT51</v>
      </c>
      <c r="W93" s="4" t="str">
        <f>VLOOKUP(T93,review2,11,FALSE)</f>
        <v>NhanDT35</v>
      </c>
      <c r="X93" s="4" t="b">
        <f>OR(EXACT(V93,H93),EXACT(V93,I93),EXACT(W93,H93),EXACT(W93,I93))</f>
        <v>0</v>
      </c>
      <c r="Y93" s="53">
        <f>VLOOKUP(T93,review2,7,FALSE)</f>
        <v>46085</v>
      </c>
      <c r="Z93" s="53" t="str">
        <f>VLOOKUP(T93,review2,8,FALSE)</f>
        <v>Wed</v>
      </c>
      <c r="AA93" s="47">
        <f>INT(MOD(T93/10,10))</f>
        <v>2</v>
      </c>
      <c r="AB93" s="47" t="e">
        <f>VLOOKUP(J93,review2,9,FALSE)</f>
        <v>#N/A</v>
      </c>
      <c r="AC93" s="47"/>
      <c r="AD93" s="6">
        <v>14622</v>
      </c>
      <c r="AE93" s="6">
        <f>COUNTIF(review3_code,AD93)</f>
        <v>3</v>
      </c>
      <c r="AF93" s="54" t="str">
        <f>VLOOKUP(AD93,review3,10,FALSE)</f>
        <v>DucDNM2</v>
      </c>
      <c r="AG93" s="54" t="str">
        <f>VLOOKUP(AD93,review3,11,FALSE)</f>
        <v>MinhTTH5</v>
      </c>
      <c r="AH93" s="47" t="b">
        <f>OR(EXACT(AF93,H93),EXACT(AF93,I93),EXACT(AG93,H93),EXACT(AG93,I93))</f>
        <v>0</v>
      </c>
      <c r="AI93" s="47" t="b">
        <f>OR(EXACT(AF93,V93),EXACT(AF93,W93),EXACT(AG93,V93),EXACT(AG93,W93))</f>
        <v>0</v>
      </c>
      <c r="AJ93" s="53">
        <f>VLOOKUP(AD93,review3,7,FALSE)</f>
        <v>46136</v>
      </c>
      <c r="AK93" s="53" t="str">
        <f>VLOOKUP(AD93,review3,8,FALSE)</f>
        <v>Fri</v>
      </c>
      <c r="AL93" s="47">
        <f>VLOOKUP(AD93,review3,4,FALSE)</f>
        <v>2</v>
      </c>
      <c r="AM93" s="47" t="str">
        <f>VLOOKUP(AD93,review3,9,FALSE)</f>
        <v>NVH.301</v>
      </c>
      <c r="AN93" s="55"/>
      <c r="AO93" t="s">
        <v>688</v>
      </c>
      <c r="AP93" s="56">
        <v>303</v>
      </c>
      <c r="AQ93" s="47" t="str">
        <f>VLOOKUP(AP93,defense1_list,7,FALSE)</f>
        <v>DucDNM2_NgocTT4_HoangNT20_TriPT9_LongT5</v>
      </c>
      <c r="AR93" s="57">
        <f>COUNTIF(defense1_forgroup_code,AP93)</f>
        <v>7</v>
      </c>
      <c r="AS93" s="4" t="b">
        <f>ISNUMBER(SEARCH(H93,AQ93))</f>
        <v>0</v>
      </c>
      <c r="AT93" s="4" t="b">
        <f>AND(NOT(ISBLANK(I93)),(ISNUMBER(SEARCH(I93,AQ93))))</f>
        <v>0</v>
      </c>
      <c r="AU93" s="4" t="b">
        <f>(IFERROR(SEARCH(AF93,AQ93),0)+IFERROR(SEARCH(AG93,AQ93),0))&gt;0</f>
        <v>1</v>
      </c>
      <c r="AV93" s="47"/>
      <c r="AW93" s="47"/>
      <c r="AX93" s="47"/>
      <c r="AY93" s="47"/>
      <c r="AZ93" s="128"/>
      <c r="BA93" s="47" t="e">
        <f>VLOOKUP(AZ93,defense2_list,7,FALSE)</f>
        <v>#N/A</v>
      </c>
      <c r="BB93" s="57">
        <f>COUNTIF(defense2_forgroup_code,AZ93)</f>
        <v>0</v>
      </c>
      <c r="BC93" s="4" t="b">
        <f>ISNUMBER(SEARCH(H93,BA93))</f>
        <v>0</v>
      </c>
      <c r="BD93" s="4" t="b">
        <f>AND(NOT(ISBLANK(I93)),(ISNUMBER(SEARCH(I93,AZ93))))</f>
        <v>0</v>
      </c>
      <c r="BE93" s="4"/>
      <c r="BF93" s="47"/>
      <c r="BG93" s="47"/>
    </row>
    <row r="94" spans="1:59" ht="29.5" thickBot="1" x14ac:dyDescent="0.4">
      <c r="A94" s="47">
        <v>54</v>
      </c>
      <c r="B94" s="48"/>
      <c r="C94" s="49" t="s">
        <v>178</v>
      </c>
      <c r="D94" s="58" t="s">
        <v>179</v>
      </c>
      <c r="E94" s="14" t="s">
        <v>180</v>
      </c>
      <c r="F94" s="14" t="s">
        <v>181</v>
      </c>
      <c r="G94" s="49" t="s">
        <v>603</v>
      </c>
      <c r="H94" s="50" t="s">
        <v>76</v>
      </c>
      <c r="I94" s="51" t="s">
        <v>77</v>
      </c>
      <c r="J94" s="6">
        <v>3441</v>
      </c>
      <c r="K94" s="6">
        <f>COUNTIF(review1_code,J94)</f>
        <v>3</v>
      </c>
      <c r="L94" s="74" t="str">
        <f>VLOOKUP(J94,review1,10,FALSE)</f>
        <v>DucDNM2</v>
      </c>
      <c r="M94" s="74" t="str">
        <f>VLOOKUP(J94,review1,11,FALSE)</f>
        <v>VanTTN2</v>
      </c>
      <c r="N94" s="47" t="b">
        <f>OR(EXACT(L94,H94),EXACT(L94,I94),EXACT(M94,H94),EXACT(M94,I94))</f>
        <v>0</v>
      </c>
      <c r="O94" s="52">
        <f>VLOOKUP(J94,review1,7,FALSE)</f>
        <v>46044</v>
      </c>
      <c r="P94" s="52" t="str">
        <f>VLOOKUP(J94,review1,8,FALSE)</f>
        <v>Thu</v>
      </c>
      <c r="Q94" s="47">
        <f>INT(MOD(J94/10,10))</f>
        <v>4</v>
      </c>
      <c r="R94" s="47" t="str">
        <f>VLOOKUP(J94,review1,9,FALSE)</f>
        <v>LB21 (Thư viên Campus)</v>
      </c>
      <c r="S94" s="47">
        <f>J94+4000</f>
        <v>7441</v>
      </c>
      <c r="T94" s="6">
        <v>7441</v>
      </c>
      <c r="U94" s="6">
        <f>COUNTIF(review2_code,T94)</f>
        <v>3</v>
      </c>
      <c r="V94" s="4" t="str">
        <f>VLOOKUP(T94,review2,10,FALSE)</f>
        <v>DucDNM2</v>
      </c>
      <c r="W94" s="4" t="str">
        <f>VLOOKUP(T94,review2,11,FALSE)</f>
        <v>VanTTN2</v>
      </c>
      <c r="X94" s="4" t="b">
        <f>OR(EXACT(V94,H94),EXACT(V94,I94),EXACT(W94,H94),EXACT(W94,I94))</f>
        <v>0</v>
      </c>
      <c r="Y94" s="53">
        <f>VLOOKUP(T94,review2,7,FALSE)</f>
        <v>46085</v>
      </c>
      <c r="Z94" s="53" t="str">
        <f>VLOOKUP(T94,review2,8,FALSE)</f>
        <v>Wed</v>
      </c>
      <c r="AA94" s="47">
        <f>INT(MOD(T94/10,10))</f>
        <v>4</v>
      </c>
      <c r="AB94" s="47" t="e">
        <f>VLOOKUP(J94,review2,9,FALSE)</f>
        <v>#N/A</v>
      </c>
      <c r="AC94" s="47"/>
      <c r="AD94" s="6">
        <v>14412</v>
      </c>
      <c r="AE94" s="6">
        <f>COUNTIF(review3_code,AD94)</f>
        <v>3</v>
      </c>
      <c r="AF94" s="54" t="str">
        <f>VLOOKUP(AD94,review3,10,FALSE)</f>
        <v>PhuongLHK</v>
      </c>
      <c r="AG94" s="54" t="str">
        <f>VLOOKUP(AD94,review3,11,FALSE)</f>
        <v>VuLNS</v>
      </c>
      <c r="AH94" s="47" t="b">
        <f>OR(EXACT(AF94,H94),EXACT(AF94,I94),EXACT(AG94,H94),EXACT(AG94,I94))</f>
        <v>0</v>
      </c>
      <c r="AI94" s="47" t="b">
        <f>OR(EXACT(AF94,V94),EXACT(AF94,W94),EXACT(AG94,V94),EXACT(AG94,W94))</f>
        <v>0</v>
      </c>
      <c r="AJ94" s="53">
        <f>VLOOKUP(AD94,review3,7,FALSE)</f>
        <v>46134</v>
      </c>
      <c r="AK94" s="53" t="str">
        <f>VLOOKUP(AD94,review3,8,FALSE)</f>
        <v>Wed</v>
      </c>
      <c r="AL94" s="47">
        <f>VLOOKUP(AD94,review3,4,FALSE)</f>
        <v>1</v>
      </c>
      <c r="AM94" s="47" t="str">
        <f>VLOOKUP(AD94,review3,9,FALSE)</f>
        <v>NVH.301</v>
      </c>
      <c r="AN94" s="55"/>
      <c r="AO94" t="s">
        <v>688</v>
      </c>
      <c r="AP94" s="56">
        <v>204</v>
      </c>
      <c r="AQ94" s="47" t="str">
        <f>VLOOKUP(AP94,defense1_list,7,FALSE)</f>
        <v>PhuongLHK_PhucNT40_VuLNS_MinhTTH5_ThinhDP2</v>
      </c>
      <c r="AR94" s="57">
        <f>COUNTIF(defense1_forgroup_code,AP94)</f>
        <v>8</v>
      </c>
      <c r="AS94" s="4" t="b">
        <f>ISNUMBER(SEARCH(H94,AQ94))</f>
        <v>0</v>
      </c>
      <c r="AT94" s="4" t="b">
        <f>AND(NOT(ISBLANK(I94)),(ISNUMBER(SEARCH(I94,AQ94))))</f>
        <v>0</v>
      </c>
      <c r="AU94" s="4" t="b">
        <f>(IFERROR(SEARCH(AF94,AQ94),0)+IFERROR(SEARCH(AG94,AQ94),0))&gt;0</f>
        <v>1</v>
      </c>
      <c r="AV94" s="47"/>
      <c r="AW94" s="47"/>
      <c r="AX94" s="47"/>
      <c r="AY94" s="47"/>
      <c r="AZ94" s="128"/>
      <c r="BA94" s="47" t="e">
        <f>VLOOKUP(AZ94,defense2_list,7,FALSE)</f>
        <v>#N/A</v>
      </c>
      <c r="BB94" s="57">
        <f>COUNTIF(defense2_forgroup_code,AZ94)</f>
        <v>0</v>
      </c>
      <c r="BC94" s="4" t="b">
        <f>ISNUMBER(SEARCH(H94,BA94))</f>
        <v>0</v>
      </c>
      <c r="BD94" s="4" t="b">
        <f>AND(NOT(ISBLANK(I94)),(ISNUMBER(SEARCH(I94,AZ94))))</f>
        <v>0</v>
      </c>
      <c r="BE94" s="4"/>
      <c r="BF94" s="47"/>
      <c r="BG94" s="47"/>
    </row>
    <row r="95" spans="1:59" ht="29.5" thickBot="1" x14ac:dyDescent="0.4">
      <c r="A95" s="47">
        <v>4</v>
      </c>
      <c r="B95" s="48"/>
      <c r="C95" s="49" t="s">
        <v>186</v>
      </c>
      <c r="D95" s="58" t="s">
        <v>187</v>
      </c>
      <c r="E95" s="14" t="s">
        <v>188</v>
      </c>
      <c r="F95" s="14" t="s">
        <v>189</v>
      </c>
      <c r="G95" s="49" t="s">
        <v>585</v>
      </c>
      <c r="H95" s="50" t="s">
        <v>644</v>
      </c>
      <c r="I95" s="51" t="s">
        <v>18</v>
      </c>
      <c r="J95" s="6">
        <v>3451</v>
      </c>
      <c r="K95" s="6">
        <f>COUNTIF(review1_code,J95)</f>
        <v>3</v>
      </c>
      <c r="L95" s="4" t="str">
        <f>VLOOKUP(J95,review1,10,FALSE)</f>
        <v>PhuongLHK</v>
      </c>
      <c r="M95" s="4" t="str">
        <f>VLOOKUP(J95,review1,11,FALSE)</f>
        <v>MinhTTH5</v>
      </c>
      <c r="N95" s="47" t="b">
        <f>OR(EXACT(L95,H95),EXACT(L95,I95),EXACT(M95,H95),EXACT(M95,I95))</f>
        <v>0</v>
      </c>
      <c r="O95" s="52">
        <f>VLOOKUP(J95,review1,7,FALSE)</f>
        <v>46044</v>
      </c>
      <c r="P95" s="52" t="str">
        <f>VLOOKUP(J95,review1,8,FALSE)</f>
        <v>Thu</v>
      </c>
      <c r="Q95" s="47">
        <f>INT(MOD(J95/10,10))</f>
        <v>5</v>
      </c>
      <c r="R95" s="47" t="str">
        <f>VLOOKUP(J95,review1,9,FALSE)</f>
        <v>NVH G.01</v>
      </c>
      <c r="S95" s="47">
        <f>J95+4000</f>
        <v>7451</v>
      </c>
      <c r="T95" s="6">
        <v>7451</v>
      </c>
      <c r="U95" s="6">
        <f>COUNTIF(review2_code,T95)</f>
        <v>3</v>
      </c>
      <c r="V95" s="4" t="str">
        <f>VLOOKUP(T95,review2,10,FALSE)</f>
        <v>PhuongLHK</v>
      </c>
      <c r="W95" s="4" t="str">
        <f>VLOOKUP(T95,review2,11,FALSE)</f>
        <v>MinhTTH5</v>
      </c>
      <c r="X95" s="4" t="b">
        <f>OR(EXACT(V95,H95),EXACT(V95,I95),EXACT(W95,H95),EXACT(W95,I95))</f>
        <v>0</v>
      </c>
      <c r="Y95" s="53">
        <f>VLOOKUP(T95,review2,7,FALSE)</f>
        <v>46085</v>
      </c>
      <c r="Z95" s="53" t="str">
        <f>VLOOKUP(T95,review2,8,FALSE)</f>
        <v>Wed</v>
      </c>
      <c r="AA95" s="47">
        <f>INT(MOD(T95/10,10))</f>
        <v>5</v>
      </c>
      <c r="AB95" s="47" t="e">
        <f>VLOOKUP(J95,review2,9,FALSE)</f>
        <v>#N/A</v>
      </c>
      <c r="AC95" s="47"/>
      <c r="AD95" s="6">
        <v>14232</v>
      </c>
      <c r="AE95" s="6">
        <f>COUNTIF(review3_code,AD95)</f>
        <v>3</v>
      </c>
      <c r="AF95" s="54" t="str">
        <f>VLOOKUP(AD95,review3,10,FALSE)</f>
        <v>HuongNTC2</v>
      </c>
      <c r="AG95" s="54" t="str">
        <f>VLOOKUP(AD95,review3,11,FALSE)</f>
        <v>SangNM18</v>
      </c>
      <c r="AH95" s="47" t="b">
        <f>OR(EXACT(AF95,H95),EXACT(AF95,I95),EXACT(AG95,H95),EXACT(AG95,I95))</f>
        <v>0</v>
      </c>
      <c r="AI95" s="47" t="b">
        <f>OR(EXACT(AF95,V95),EXACT(AF95,W95),EXACT(AG95,V95),EXACT(AG95,W95))</f>
        <v>0</v>
      </c>
      <c r="AJ95" s="53">
        <f>VLOOKUP(AD95,review3,7,FALSE)</f>
        <v>46132</v>
      </c>
      <c r="AK95" s="53" t="str">
        <f>VLOOKUP(AD95,review3,8,FALSE)</f>
        <v>Mon</v>
      </c>
      <c r="AL95" s="47">
        <f>VLOOKUP(AD95,review3,4,FALSE)</f>
        <v>3</v>
      </c>
      <c r="AM95" s="47" t="str">
        <f>VLOOKUP(AD95,review3,9,FALSE)</f>
        <v>NVH.414</v>
      </c>
      <c r="AN95" s="55"/>
      <c r="AO95" t="s">
        <v>688</v>
      </c>
      <c r="AP95" s="56">
        <v>101</v>
      </c>
      <c r="AQ95" s="47" t="str">
        <f>VLOOKUP(AP95,defense1_list,7,FALSE)</f>
        <v>HuongNTC2_HungLD5_SangNM18_VanTTN2_AnNDH2</v>
      </c>
      <c r="AR95" s="57">
        <f>COUNTIF(defense1_forgroup_code,AP95)</f>
        <v>8</v>
      </c>
      <c r="AS95" s="4" t="b">
        <f>ISNUMBER(SEARCH(H95,AQ95))</f>
        <v>0</v>
      </c>
      <c r="AT95" s="4" t="b">
        <f>AND(NOT(ISBLANK(I95)),(ISNUMBER(SEARCH(I95,AQ95))))</f>
        <v>0</v>
      </c>
      <c r="AU95" s="4" t="b">
        <f>(IFERROR(SEARCH(AF95,AQ95),0)+IFERROR(SEARCH(AG95,AQ95),0))&gt;0</f>
        <v>1</v>
      </c>
      <c r="AV95" s="47"/>
      <c r="AW95" s="47"/>
      <c r="AX95" s="47"/>
      <c r="AY95" s="47"/>
      <c r="AZ95" s="128"/>
      <c r="BA95" s="47" t="e">
        <f>VLOOKUP(AZ95,defense2_list,7,FALSE)</f>
        <v>#N/A</v>
      </c>
      <c r="BB95" s="57">
        <f>COUNTIF(defense2_forgroup_code,AZ95)</f>
        <v>0</v>
      </c>
      <c r="BC95" s="4" t="b">
        <f>ISNUMBER(SEARCH(H95,BA95))</f>
        <v>0</v>
      </c>
      <c r="BD95" s="4" t="b">
        <f>AND(NOT(ISBLANK(I95)),(ISNUMBER(SEARCH(I95,AZ95))))</f>
        <v>0</v>
      </c>
      <c r="BE95" s="4"/>
      <c r="BF95" s="47"/>
      <c r="BG95" s="47"/>
    </row>
    <row r="96" spans="1:59" ht="15" thickBot="1" x14ac:dyDescent="0.4">
      <c r="A96" s="47">
        <v>128</v>
      </c>
      <c r="B96" s="48"/>
      <c r="C96" s="49" t="s">
        <v>190</v>
      </c>
      <c r="D96" s="58" t="s">
        <v>191</v>
      </c>
      <c r="E96" s="14" t="s">
        <v>192</v>
      </c>
      <c r="F96" s="14" t="s">
        <v>193</v>
      </c>
      <c r="G96" s="49" t="s">
        <v>74</v>
      </c>
      <c r="H96" s="50" t="s">
        <v>75</v>
      </c>
      <c r="I96" s="51"/>
      <c r="J96" s="6">
        <v>3452</v>
      </c>
      <c r="K96" s="6">
        <f>COUNTIF(review1_code,J96)</f>
        <v>3</v>
      </c>
      <c r="L96" s="4" t="str">
        <f>VLOOKUP(J96,review1,10,FALSE)</f>
        <v>TriPT9</v>
      </c>
      <c r="M96" s="4" t="str">
        <f>VLOOKUP(J96,review1,11,FALSE)</f>
        <v>VuLNS</v>
      </c>
      <c r="N96" s="47" t="b">
        <f>OR(EXACT(L96,H96),EXACT(L96,I96),EXACT(M96,H96),EXACT(M96,I96))</f>
        <v>0</v>
      </c>
      <c r="O96" s="52">
        <f>VLOOKUP(J96,review1,7,FALSE)</f>
        <v>46044</v>
      </c>
      <c r="P96" s="52" t="str">
        <f>VLOOKUP(J96,review1,8,FALSE)</f>
        <v>Thu</v>
      </c>
      <c r="Q96" s="47">
        <f>INT(MOD(J96/10,10))</f>
        <v>5</v>
      </c>
      <c r="R96" s="47" t="str">
        <f>VLOOKUP(J96,review1,9,FALSE)</f>
        <v>NVH G.02</v>
      </c>
      <c r="S96" s="47">
        <f>J96+4000</f>
        <v>7452</v>
      </c>
      <c r="T96" s="6">
        <v>7452</v>
      </c>
      <c r="U96" s="6">
        <f>COUNTIF(review2_code,T96)</f>
        <v>3</v>
      </c>
      <c r="V96" s="4" t="str">
        <f>VLOOKUP(T96,review2,10,FALSE)</f>
        <v>TriPT9</v>
      </c>
      <c r="W96" s="4" t="str">
        <f>VLOOKUP(T96,review2,11,FALSE)</f>
        <v>VuLNS</v>
      </c>
      <c r="X96" s="4" t="b">
        <f>OR(EXACT(V96,H96),EXACT(V96,I96),EXACT(W96,H96),EXACT(W96,I96))</f>
        <v>0</v>
      </c>
      <c r="Y96" s="53">
        <f>VLOOKUP(T96,review2,7,FALSE)</f>
        <v>46085</v>
      </c>
      <c r="Z96" s="53" t="str">
        <f>VLOOKUP(T96,review2,8,FALSE)</f>
        <v>Wed</v>
      </c>
      <c r="AA96" s="47">
        <f>INT(MOD(T96/10,10))</f>
        <v>5</v>
      </c>
      <c r="AB96" s="47" t="e">
        <f>VLOOKUP(J96,review2,9,FALSE)</f>
        <v>#N/A</v>
      </c>
      <c r="AC96" s="47"/>
      <c r="AD96" s="6">
        <v>14533</v>
      </c>
      <c r="AE96" s="6">
        <f>COUNTIF(review3_code,AD96)</f>
        <v>3</v>
      </c>
      <c r="AF96" s="54" t="str">
        <f>VLOOKUP(AD96,review3,10,FALSE)</f>
        <v>TaiNT51</v>
      </c>
      <c r="AG96" s="54" t="str">
        <f>VLOOKUP(AD96,review3,11,FALSE)</f>
        <v>SangNM18</v>
      </c>
      <c r="AH96" s="47" t="b">
        <f>OR(EXACT(AF96,H96),EXACT(AF96,I96),EXACT(AG96,H96),EXACT(AG96,I96))</f>
        <v>0</v>
      </c>
      <c r="AI96" s="47" t="b">
        <f>OR(EXACT(AF96,V96),EXACT(AF96,W96),EXACT(AG96,V96),EXACT(AG96,W96))</f>
        <v>0</v>
      </c>
      <c r="AJ96" s="53">
        <f>VLOOKUP(AD96,review3,7,FALSE)</f>
        <v>46135</v>
      </c>
      <c r="AK96" s="53" t="str">
        <f>VLOOKUP(AD96,review3,8,FALSE)</f>
        <v>Thu</v>
      </c>
      <c r="AL96" s="47">
        <f>VLOOKUP(AD96,review3,4,FALSE)</f>
        <v>3</v>
      </c>
      <c r="AM96" s="47" t="str">
        <f>VLOOKUP(AD96,review3,9,FALSE)</f>
        <v>NVH.415</v>
      </c>
      <c r="AN96" s="55"/>
      <c r="AO96" t="s">
        <v>688</v>
      </c>
      <c r="AP96" s="56">
        <v>402</v>
      </c>
      <c r="AQ96" s="47" t="str">
        <f>VLOOKUP(AP96,defense1_list,7,FALSE)</f>
        <v>TaiNT51_ThongNT_TriPT9_MinhTTH5_TruongLV11</v>
      </c>
      <c r="AR96" s="57">
        <f>COUNTIF(defense1_forgroup_code,AP96)</f>
        <v>8</v>
      </c>
      <c r="AS96" s="4" t="b">
        <f>ISNUMBER(SEARCH(H96,AQ96))</f>
        <v>0</v>
      </c>
      <c r="AT96" s="4" t="b">
        <f>AND(NOT(ISBLANK(I96)),(ISNUMBER(SEARCH(I96,AQ96))))</f>
        <v>0</v>
      </c>
      <c r="AU96" s="4" t="b">
        <f>(IFERROR(SEARCH(AF96,AQ96),0)+IFERROR(SEARCH(AG96,AQ96),0))&gt;0</f>
        <v>1</v>
      </c>
      <c r="AV96" s="47"/>
      <c r="AW96" s="47"/>
      <c r="AX96" s="47"/>
      <c r="AY96" s="47"/>
      <c r="AZ96" s="128"/>
      <c r="BA96" s="47" t="e">
        <f>VLOOKUP(AZ96,defense2_list,7,FALSE)</f>
        <v>#N/A</v>
      </c>
      <c r="BB96" s="57">
        <f>COUNTIF(defense2_forgroup_code,AZ96)</f>
        <v>0</v>
      </c>
      <c r="BC96" s="4" t="b">
        <f>ISNUMBER(SEARCH(H96,BA96))</f>
        <v>0</v>
      </c>
      <c r="BD96" s="4" t="b">
        <f>AND(NOT(ISBLANK(I96)),(ISNUMBER(SEARCH(I96,AZ96))))</f>
        <v>0</v>
      </c>
      <c r="BE96" s="4"/>
      <c r="BF96" s="47"/>
      <c r="BG96" s="47"/>
    </row>
    <row r="97" spans="1:59" ht="15" thickBot="1" x14ac:dyDescent="0.4">
      <c r="A97" s="47">
        <v>43</v>
      </c>
      <c r="B97" s="48"/>
      <c r="C97" s="49" t="s">
        <v>194</v>
      </c>
      <c r="D97" s="58" t="s">
        <v>195</v>
      </c>
      <c r="E97" s="14" t="s">
        <v>196</v>
      </c>
      <c r="F97" s="14" t="s">
        <v>197</v>
      </c>
      <c r="G97" s="49" t="s">
        <v>74</v>
      </c>
      <c r="H97" s="50" t="s">
        <v>75</v>
      </c>
      <c r="I97" s="51"/>
      <c r="J97" s="6">
        <v>3652</v>
      </c>
      <c r="K97" s="6">
        <f>COUNTIF(review1_code,J97)</f>
        <v>3</v>
      </c>
      <c r="L97" s="4" t="str">
        <f>VLOOKUP(J97,review1,10,FALSE)</f>
        <v>PhuongLHK</v>
      </c>
      <c r="M97" s="4" t="str">
        <f>VLOOKUP(J97,review1,11,FALSE)</f>
        <v>TamPM</v>
      </c>
      <c r="N97" s="47" t="b">
        <f>OR(EXACT(L97,H97),EXACT(L97,I97),EXACT(M97,H97),EXACT(M97,I97))</f>
        <v>0</v>
      </c>
      <c r="O97" s="52">
        <f>VLOOKUP(J97,review1,7,FALSE)</f>
        <v>46046</v>
      </c>
      <c r="P97" s="52" t="str">
        <f>VLOOKUP(J97,review1,8,FALSE)</f>
        <v>Sat</v>
      </c>
      <c r="Q97" s="47">
        <f>INT(MOD(J97/10,10))</f>
        <v>5</v>
      </c>
      <c r="R97" s="47" t="str">
        <f>VLOOKUP(J97,review1,9,FALSE)</f>
        <v>NVH G.01</v>
      </c>
      <c r="S97" s="47">
        <f>J97+4000</f>
        <v>7652</v>
      </c>
      <c r="T97" s="6">
        <v>7652</v>
      </c>
      <c r="U97" s="6">
        <f>COUNTIF(review2_code,T97)</f>
        <v>3</v>
      </c>
      <c r="V97" s="4" t="str">
        <f>VLOOKUP(T97,review2,10,FALSE)</f>
        <v>PhuongLHK</v>
      </c>
      <c r="W97" s="4" t="str">
        <f>VLOOKUP(T97,review2,11,FALSE)</f>
        <v>TamPM</v>
      </c>
      <c r="X97" s="4" t="b">
        <f>OR(EXACT(V97,H97),EXACT(V97,I97),EXACT(W97,H97),EXACT(W97,I97))</f>
        <v>0</v>
      </c>
      <c r="Y97" s="53">
        <f>VLOOKUP(T97,review2,7,FALSE)</f>
        <v>46087</v>
      </c>
      <c r="Z97" s="53" t="str">
        <f>VLOOKUP(T97,review2,8,FALSE)</f>
        <v>Fri</v>
      </c>
      <c r="AA97" s="47">
        <f>INT(MOD(T97/10,10))</f>
        <v>5</v>
      </c>
      <c r="AB97" s="47" t="e">
        <f>VLOOKUP(J97,review2,9,FALSE)</f>
        <v>#N/A</v>
      </c>
      <c r="AC97" s="47"/>
      <c r="AD97" s="6">
        <v>14212</v>
      </c>
      <c r="AE97" s="6">
        <f>COUNTIF(review3_code,AD97)</f>
        <v>3</v>
      </c>
      <c r="AF97" s="54" t="str">
        <f>VLOOKUP(AD97,review3,10,FALSE)</f>
        <v>HuongNTC2</v>
      </c>
      <c r="AG97" s="54" t="str">
        <f>VLOOKUP(AD97,review3,11,FALSE)</f>
        <v>VanTTN2</v>
      </c>
      <c r="AH97" s="47" t="b">
        <f>OR(EXACT(AF97,H97),EXACT(AF97,I97),EXACT(AG97,H97),EXACT(AG97,I97))</f>
        <v>0</v>
      </c>
      <c r="AI97" s="47" t="b">
        <f>OR(EXACT(AF97,V97),EXACT(AF97,W97),EXACT(AG97,V97),EXACT(AG97,W97))</f>
        <v>0</v>
      </c>
      <c r="AJ97" s="53">
        <f>VLOOKUP(AD97,review3,7,FALSE)</f>
        <v>46132</v>
      </c>
      <c r="AK97" s="53" t="str">
        <f>VLOOKUP(AD97,review3,8,FALSE)</f>
        <v>Mon</v>
      </c>
      <c r="AL97" s="47">
        <f>VLOOKUP(AD97,review3,4,FALSE)</f>
        <v>1</v>
      </c>
      <c r="AM97" s="47" t="str">
        <f>VLOOKUP(AD97,review3,9,FALSE)</f>
        <v>NVH.414</v>
      </c>
      <c r="AN97" s="55"/>
      <c r="AO97" t="s">
        <v>689</v>
      </c>
      <c r="AP97" s="122"/>
      <c r="AQ97" s="47" t="e">
        <f>VLOOKUP(AP97,defense1_list,7,FALSE)</f>
        <v>#N/A</v>
      </c>
      <c r="AR97" s="57">
        <f>COUNTIF(defense1_forgroup_code,AP97)</f>
        <v>0</v>
      </c>
      <c r="AS97" s="4" t="b">
        <f>ISNUMBER(SEARCH(H97,AQ97))</f>
        <v>0</v>
      </c>
      <c r="AT97" s="4" t="b">
        <f>AND(NOT(ISBLANK(I97)),(ISNUMBER(SEARCH(I97,AQ97))))</f>
        <v>0</v>
      </c>
      <c r="AU97" s="4"/>
      <c r="AV97" s="47"/>
      <c r="AW97" s="47"/>
      <c r="AX97" s="47"/>
      <c r="AY97" s="47"/>
      <c r="AZ97" s="128"/>
      <c r="BA97" s="47" t="e">
        <f>VLOOKUP(AZ97,defense2_list,7,FALSE)</f>
        <v>#N/A</v>
      </c>
      <c r="BB97" s="57">
        <f>COUNTIF(defense2_forgroup_code,AZ97)</f>
        <v>0</v>
      </c>
      <c r="BC97" s="4" t="b">
        <f>ISNUMBER(SEARCH(H97,BA97))</f>
        <v>0</v>
      </c>
      <c r="BD97" s="4" t="b">
        <f>AND(NOT(ISBLANK(I97)),(ISNUMBER(SEARCH(I97,AZ97))))</f>
        <v>0</v>
      </c>
      <c r="BE97" s="4"/>
      <c r="BF97" s="47"/>
      <c r="BG97" s="47"/>
    </row>
    <row r="98" spans="1:59" ht="15" thickBot="1" x14ac:dyDescent="0.4">
      <c r="A98" s="47">
        <v>7</v>
      </c>
      <c r="B98" s="48"/>
      <c r="C98" s="49" t="s">
        <v>202</v>
      </c>
      <c r="D98" s="58" t="s">
        <v>203</v>
      </c>
      <c r="E98" s="14" t="s">
        <v>204</v>
      </c>
      <c r="F98" s="14" t="s">
        <v>205</v>
      </c>
      <c r="G98" s="49" t="s">
        <v>604</v>
      </c>
      <c r="H98" s="50" t="s">
        <v>643</v>
      </c>
      <c r="I98" s="51"/>
      <c r="J98" s="6">
        <v>3532</v>
      </c>
      <c r="K98" s="6">
        <f>COUNTIF(review1_code,J98)</f>
        <v>3</v>
      </c>
      <c r="L98" s="4" t="str">
        <f>VLOOKUP(J98,review1,10,FALSE)</f>
        <v>HuongNTC2</v>
      </c>
      <c r="M98" s="4" t="str">
        <f>VLOOKUP(J98,review1,11,FALSE)</f>
        <v>LongT5</v>
      </c>
      <c r="N98" s="47" t="b">
        <f>OR(EXACT(L98,H98),EXACT(L98,I98),EXACT(M98,H98),EXACT(M98,I98))</f>
        <v>0</v>
      </c>
      <c r="O98" s="52">
        <f>VLOOKUP(J98,review1,7,FALSE)</f>
        <v>46045</v>
      </c>
      <c r="P98" s="52" t="str">
        <f>VLOOKUP(J98,review1,8,FALSE)</f>
        <v>Fri</v>
      </c>
      <c r="Q98" s="47">
        <f>INT(MOD(J98/10,10))</f>
        <v>3</v>
      </c>
      <c r="R98" s="47" t="str">
        <f>VLOOKUP(J98,review1,9,FALSE)</f>
        <v>NVH G.04</v>
      </c>
      <c r="S98" s="47">
        <f>J98+4000</f>
        <v>7532</v>
      </c>
      <c r="T98" s="6">
        <v>7532</v>
      </c>
      <c r="U98" s="6">
        <f>COUNTIF(review2_code,T98)</f>
        <v>3</v>
      </c>
      <c r="V98" s="4" t="str">
        <f>VLOOKUP(T98,review2,10,FALSE)</f>
        <v>HuongNTC2</v>
      </c>
      <c r="W98" s="4" t="str">
        <f>VLOOKUP(T98,review2,11,FALSE)</f>
        <v>LongT5</v>
      </c>
      <c r="X98" s="4" t="b">
        <f>OR(EXACT(V98,H98),EXACT(V98,I98),EXACT(W98,H98),EXACT(W98,I98))</f>
        <v>0</v>
      </c>
      <c r="Y98" s="53">
        <f>VLOOKUP(T98,review2,7,FALSE)</f>
        <v>46086</v>
      </c>
      <c r="Z98" s="53" t="str">
        <f>VLOOKUP(T98,review2,8,FALSE)</f>
        <v>Thu</v>
      </c>
      <c r="AA98" s="47">
        <f>INT(MOD(T98/10,10))</f>
        <v>3</v>
      </c>
      <c r="AB98" s="47" t="e">
        <f>VLOOKUP(J98,review2,9,FALSE)</f>
        <v>#N/A</v>
      </c>
      <c r="AC98" s="47"/>
      <c r="AD98" s="6">
        <v>14412</v>
      </c>
      <c r="AE98" s="6">
        <f>COUNTIF(review3_code,AD98)</f>
        <v>3</v>
      </c>
      <c r="AF98" s="54" t="str">
        <f>VLOOKUP(AD98,review3,10,FALSE)</f>
        <v>PhuongLHK</v>
      </c>
      <c r="AG98" s="54" t="str">
        <f>VLOOKUP(AD98,review3,11,FALSE)</f>
        <v>VuLNS</v>
      </c>
      <c r="AH98" s="47" t="b">
        <f>OR(EXACT(AF98,H98),EXACT(AF98,I98),EXACT(AG98,H98),EXACT(AG98,I98))</f>
        <v>0</v>
      </c>
      <c r="AI98" s="47" t="b">
        <f>OR(EXACT(AF98,V98),EXACT(AF98,W98),EXACT(AG98,V98),EXACT(AG98,W98))</f>
        <v>0</v>
      </c>
      <c r="AJ98" s="53">
        <f>VLOOKUP(AD98,review3,7,FALSE)</f>
        <v>46134</v>
      </c>
      <c r="AK98" s="53" t="str">
        <f>VLOOKUP(AD98,review3,8,FALSE)</f>
        <v>Wed</v>
      </c>
      <c r="AL98" s="47">
        <f>VLOOKUP(AD98,review3,4,FALSE)</f>
        <v>1</v>
      </c>
      <c r="AM98" s="47" t="str">
        <f>VLOOKUP(AD98,review3,9,FALSE)</f>
        <v>NVH.301</v>
      </c>
      <c r="AN98" s="55"/>
      <c r="AO98" t="s">
        <v>688</v>
      </c>
      <c r="AP98" s="56">
        <v>104</v>
      </c>
      <c r="AQ98" s="47" t="str">
        <f>VLOOKUP(AP98,defense1_list,7,FALSE)</f>
        <v>PhuongLHK_NguyenTT15_NhanDT35_TriPT9_ThinhDP2</v>
      </c>
      <c r="AR98" s="57">
        <f>COUNTIF(defense1_forgroup_code,AP98)</f>
        <v>7</v>
      </c>
      <c r="AS98" s="4" t="b">
        <f>ISNUMBER(SEARCH(H98,AQ98))</f>
        <v>0</v>
      </c>
      <c r="AT98" s="4" t="b">
        <f>AND(NOT(ISBLANK(I98)),(ISNUMBER(SEARCH(I98,AQ98))))</f>
        <v>0</v>
      </c>
      <c r="AU98" s="4" t="b">
        <f>(IFERROR(SEARCH(AF98,AQ98),0)+IFERROR(SEARCH(AG98,AQ98),0))&gt;0</f>
        <v>1</v>
      </c>
      <c r="AV98" s="47"/>
      <c r="AW98" s="47"/>
      <c r="AX98" s="47"/>
      <c r="AY98" s="47"/>
      <c r="AZ98" s="128"/>
      <c r="BA98" s="47" t="e">
        <f>VLOOKUP(AZ98,defense2_list,7,FALSE)</f>
        <v>#N/A</v>
      </c>
      <c r="BB98" s="57">
        <f>COUNTIF(defense2_forgroup_code,AZ98)</f>
        <v>0</v>
      </c>
      <c r="BC98" s="4" t="b">
        <f>ISNUMBER(SEARCH(H98,BA98))</f>
        <v>0</v>
      </c>
      <c r="BD98" s="4" t="b">
        <f>AND(NOT(ISBLANK(I98)),(ISNUMBER(SEARCH(I98,AZ98))))</f>
        <v>0</v>
      </c>
      <c r="BE98" s="4"/>
      <c r="BF98" s="47"/>
      <c r="BG98" s="47"/>
    </row>
    <row r="99" spans="1:59" ht="15" thickBot="1" x14ac:dyDescent="0.4">
      <c r="A99" s="47">
        <v>20</v>
      </c>
      <c r="B99" s="48"/>
      <c r="C99" s="49" t="s">
        <v>206</v>
      </c>
      <c r="D99" s="58" t="s">
        <v>207</v>
      </c>
      <c r="E99" s="14" t="s">
        <v>208</v>
      </c>
      <c r="F99" s="14" t="s">
        <v>209</v>
      </c>
      <c r="G99" s="49" t="s">
        <v>80</v>
      </c>
      <c r="H99" s="50" t="s">
        <v>19</v>
      </c>
      <c r="I99" s="51"/>
      <c r="J99" s="6">
        <v>4524</v>
      </c>
      <c r="K99" s="6">
        <f>COUNTIF(review1_code,J99)</f>
        <v>3</v>
      </c>
      <c r="L99" s="4" t="str">
        <f>VLOOKUP(J99,review1,10,FALSE)</f>
        <v>PhuongLHK</v>
      </c>
      <c r="M99" s="4" t="str">
        <f>VLOOKUP(J99,review1,11,FALSE)</f>
        <v>SangNM18</v>
      </c>
      <c r="N99" s="47" t="b">
        <f>OR(EXACT(L99,H99),EXACT(L99,I99),EXACT(M99,H99),EXACT(M99,I99))</f>
        <v>0</v>
      </c>
      <c r="O99" s="52">
        <f>VLOOKUP(J99,review1,7,FALSE)</f>
        <v>46052</v>
      </c>
      <c r="P99" s="52" t="str">
        <f>VLOOKUP(J99,review1,8,FALSE)</f>
        <v>Fri</v>
      </c>
      <c r="Q99" s="47">
        <f>INT(MOD(J99/10,10))</f>
        <v>2</v>
      </c>
      <c r="R99" s="47" t="str">
        <f>VLOOKUP(J99,review1,9,FALSE)</f>
        <v>NVH G.01</v>
      </c>
      <c r="S99" s="47">
        <f>J99+4000</f>
        <v>8524</v>
      </c>
      <c r="T99" s="6">
        <v>8524</v>
      </c>
      <c r="U99" s="6">
        <f>COUNTIF(review2_code,T99)</f>
        <v>3</v>
      </c>
      <c r="V99" s="4" t="str">
        <f>VLOOKUP(T99,review2,10,FALSE)</f>
        <v>PhuongLHK</v>
      </c>
      <c r="W99" s="4" t="str">
        <f>VLOOKUP(T99,review2,11,FALSE)</f>
        <v>SangNM18</v>
      </c>
      <c r="X99" s="4" t="b">
        <f>OR(EXACT(V99,H99),EXACT(V99,I99),EXACT(W99,H99),EXACT(W99,I99))</f>
        <v>0</v>
      </c>
      <c r="Y99" s="53">
        <f>VLOOKUP(T99,review2,7,FALSE)</f>
        <v>46093</v>
      </c>
      <c r="Z99" s="53" t="str">
        <f>VLOOKUP(T99,review2,8,FALSE)</f>
        <v>Thu</v>
      </c>
      <c r="AA99" s="47">
        <f>INT(MOD(T99/10,10))</f>
        <v>2</v>
      </c>
      <c r="AB99" s="47" t="e">
        <f>VLOOKUP(J99,review2,9,FALSE)</f>
        <v>#N/A</v>
      </c>
      <c r="AC99" s="47"/>
      <c r="AD99" s="6">
        <v>14543</v>
      </c>
      <c r="AE99" s="6">
        <f>COUNTIF(review3_code,AD99)</f>
        <v>3</v>
      </c>
      <c r="AF99" s="54" t="str">
        <f>VLOOKUP(AD99,review3,10,FALSE)</f>
        <v>TaiNT51</v>
      </c>
      <c r="AG99" s="54" t="str">
        <f>VLOOKUP(AD99,review3,11,FALSE)</f>
        <v>TriPT9</v>
      </c>
      <c r="AH99" s="47" t="b">
        <f>OR(EXACT(AF99,H99),EXACT(AF99,I99),EXACT(AG99,H99),EXACT(AG99,I99))</f>
        <v>0</v>
      </c>
      <c r="AI99" s="47" t="b">
        <f>OR(EXACT(AF99,V99),EXACT(AF99,W99),EXACT(AG99,V99),EXACT(AG99,W99))</f>
        <v>0</v>
      </c>
      <c r="AJ99" s="53">
        <f>VLOOKUP(AD99,review3,7,FALSE)</f>
        <v>46135</v>
      </c>
      <c r="AK99" s="53" t="str">
        <f>VLOOKUP(AD99,review3,8,FALSE)</f>
        <v>Thu</v>
      </c>
      <c r="AL99" s="47">
        <f>VLOOKUP(AD99,review3,4,FALSE)</f>
        <v>4</v>
      </c>
      <c r="AM99" s="47" t="str">
        <f>VLOOKUP(AD99,review3,9,FALSE)</f>
        <v>NVH.415</v>
      </c>
      <c r="AN99" s="55"/>
      <c r="AO99" t="s">
        <v>688</v>
      </c>
      <c r="AP99" s="105">
        <v>302</v>
      </c>
      <c r="AQ99" s="106" t="str">
        <f>VLOOKUP(AP99,defense1_list,7,FALSE)</f>
        <v>TaiNT51_QuynhTNN4_AnNDH2_MinhTTH5_TruongLV11</v>
      </c>
      <c r="AR99" s="57">
        <f>COUNTIF(defense1_forgroup_code,AP99)</f>
        <v>8</v>
      </c>
      <c r="AS99" s="4" t="b">
        <f>ISNUMBER(SEARCH(H99,AQ99))</f>
        <v>0</v>
      </c>
      <c r="AT99" s="4" t="b">
        <f>AND(NOT(ISBLANK(I99)),(ISNUMBER(SEARCH(I99,AQ99))))</f>
        <v>0</v>
      </c>
      <c r="AU99" s="4" t="b">
        <f>(IFERROR(SEARCH(AF99,AQ99),0)+IFERROR(SEARCH(AG99,AQ99),0))&gt;0</f>
        <v>1</v>
      </c>
      <c r="AV99" s="47"/>
      <c r="AW99" s="47"/>
      <c r="AX99" s="47"/>
      <c r="AY99" s="47"/>
      <c r="AZ99" s="128"/>
      <c r="BA99" s="47" t="e">
        <f>VLOOKUP(AZ99,defense2_list,7,FALSE)</f>
        <v>#N/A</v>
      </c>
      <c r="BB99" s="57">
        <f>COUNTIF(defense2_forgroup_code,AZ99)</f>
        <v>0</v>
      </c>
      <c r="BC99" s="4" t="b">
        <f>ISNUMBER(SEARCH(H99,BA99))</f>
        <v>0</v>
      </c>
      <c r="BD99" s="4" t="b">
        <f>AND(NOT(ISBLANK(I99)),(ISNUMBER(SEARCH(I99,AZ99))))</f>
        <v>0</v>
      </c>
      <c r="BE99" s="4"/>
      <c r="BF99" s="47"/>
      <c r="BG99" s="47"/>
    </row>
    <row r="100" spans="1:59" ht="39" customHeight="1" thickBot="1" x14ac:dyDescent="0.4">
      <c r="A100" s="47">
        <v>10</v>
      </c>
      <c r="B100" s="48"/>
      <c r="C100" s="49" t="s">
        <v>606</v>
      </c>
      <c r="D100" s="58" t="s">
        <v>607</v>
      </c>
      <c r="E100" s="14" t="s">
        <v>608</v>
      </c>
      <c r="F100" s="14" t="s">
        <v>609</v>
      </c>
      <c r="G100" s="49" t="s">
        <v>68</v>
      </c>
      <c r="H100" s="50" t="s">
        <v>29</v>
      </c>
      <c r="I100" s="51"/>
      <c r="J100" s="6">
        <v>3552</v>
      </c>
      <c r="K100" s="6">
        <f>COUNTIF(review1_code,J100)</f>
        <v>3</v>
      </c>
      <c r="L100" s="4" t="str">
        <f>VLOOKUP(J100,review1,10,FALSE)</f>
        <v>TaiNT51</v>
      </c>
      <c r="M100" s="4" t="str">
        <f>VLOOKUP(J100,review1,11,FALSE)</f>
        <v>MinhTTH5</v>
      </c>
      <c r="N100" s="47" t="b">
        <f>OR(EXACT(L100,H100),EXACT(L100,I100),EXACT(M100,H100),EXACT(M100,I100))</f>
        <v>0</v>
      </c>
      <c r="O100" s="52">
        <f>VLOOKUP(J100,review1,7,FALSE)</f>
        <v>46045</v>
      </c>
      <c r="P100" s="52" t="str">
        <f>VLOOKUP(J100,review1,8,FALSE)</f>
        <v>Fri</v>
      </c>
      <c r="Q100" s="47">
        <f>INT(MOD(J100/10,10))</f>
        <v>5</v>
      </c>
      <c r="R100" s="47" t="str">
        <f>VLOOKUP(J100,review1,9,FALSE)</f>
        <v>NVH 420</v>
      </c>
      <c r="S100" s="47">
        <f>J100+4000</f>
        <v>7552</v>
      </c>
      <c r="T100" s="6">
        <v>7552</v>
      </c>
      <c r="U100" s="6">
        <f>COUNTIF(review2_code,T100)</f>
        <v>3</v>
      </c>
      <c r="V100" s="4" t="str">
        <f>VLOOKUP(T100,review2,10,FALSE)</f>
        <v>TaiNT51</v>
      </c>
      <c r="W100" s="4" t="str">
        <f>VLOOKUP(T100,review2,11,FALSE)</f>
        <v>MinhTTH5</v>
      </c>
      <c r="X100" s="4" t="b">
        <f>OR(EXACT(V100,H100),EXACT(V100,I100),EXACT(W100,H100),EXACT(W100,I100))</f>
        <v>0</v>
      </c>
      <c r="Y100" s="53">
        <f>VLOOKUP(T100,review2,7,FALSE)</f>
        <v>46086</v>
      </c>
      <c r="Z100" s="53" t="str">
        <f>VLOOKUP(T100,review2,8,FALSE)</f>
        <v>Thu</v>
      </c>
      <c r="AA100" s="47">
        <f>INT(MOD(T100/10,10))</f>
        <v>5</v>
      </c>
      <c r="AB100" s="47" t="e">
        <f>VLOOKUP(J100,review2,9,FALSE)</f>
        <v>#N/A</v>
      </c>
      <c r="AC100" s="47"/>
      <c r="AD100" s="6">
        <v>14311</v>
      </c>
      <c r="AE100" s="6">
        <f>COUNTIF(review3_code,AD100)</f>
        <v>3</v>
      </c>
      <c r="AF100" s="54" t="str">
        <f>VLOOKUP(AD100,review3,10,FALSE)</f>
        <v>HuongNTC2</v>
      </c>
      <c r="AG100" s="54" t="str">
        <f>VLOOKUP(AD100,review3,11,FALSE)</f>
        <v>VanTTN2</v>
      </c>
      <c r="AH100" s="47" t="b">
        <f>OR(EXACT(AF100,H100),EXACT(AF100,I100),EXACT(AG100,H100),EXACT(AG100,I100))</f>
        <v>0</v>
      </c>
      <c r="AI100" s="47" t="b">
        <f>OR(EXACT(AF100,V100),EXACT(AF100,W100),EXACT(AG100,V100),EXACT(AG100,W100))</f>
        <v>0</v>
      </c>
      <c r="AJ100" s="53">
        <f>VLOOKUP(AD100,review3,7,FALSE)</f>
        <v>46133</v>
      </c>
      <c r="AK100" s="53" t="str">
        <f>VLOOKUP(AD100,review3,8,FALSE)</f>
        <v>Tue</v>
      </c>
      <c r="AL100" s="47">
        <f>VLOOKUP(AD100,review3,4,FALSE)</f>
        <v>1</v>
      </c>
      <c r="AM100" s="47" t="str">
        <f>VLOOKUP(AD100,review3,9,FALSE)</f>
        <v>NVH.414</v>
      </c>
      <c r="AN100" s="55"/>
      <c r="AO100" t="s">
        <v>688</v>
      </c>
      <c r="AP100" s="56">
        <v>301</v>
      </c>
      <c r="AQ100" s="47" t="str">
        <f>VLOOKUP(AP100,defense1_list,7,FALSE)</f>
        <v>HuongNTC2_VanTTN2_TamPM_LinhNV (Long Chau)_LamNN15</v>
      </c>
      <c r="AR100" s="57">
        <f>COUNTIF(defense1_forgroup_code,AP100)</f>
        <v>7</v>
      </c>
      <c r="AS100" s="4" t="b">
        <f>ISNUMBER(SEARCH(H100,AQ100))</f>
        <v>0</v>
      </c>
      <c r="AT100" s="4" t="b">
        <f>AND(NOT(ISBLANK(I100)),(ISNUMBER(SEARCH(I100,AQ100))))</f>
        <v>0</v>
      </c>
      <c r="AU100" s="4" t="b">
        <f>(IFERROR(SEARCH(AF100,AQ100),0)+IFERROR(SEARCH(AG100,AQ100),0))&gt;0</f>
        <v>1</v>
      </c>
      <c r="AV100" s="47"/>
      <c r="AW100" s="47"/>
      <c r="AX100" s="47"/>
      <c r="AY100" s="47"/>
      <c r="AZ100" s="128"/>
      <c r="BA100" s="47" t="e">
        <f>VLOOKUP(AZ100,defense2_list,7,FALSE)</f>
        <v>#N/A</v>
      </c>
      <c r="BB100" s="57">
        <f>COUNTIF(defense2_forgroup_code,AZ100)</f>
        <v>0</v>
      </c>
      <c r="BC100" s="4" t="b">
        <f>ISNUMBER(SEARCH(H100,BA100))</f>
        <v>0</v>
      </c>
      <c r="BD100" s="4" t="b">
        <f>AND(NOT(ISBLANK(I100)),(ISNUMBER(SEARCH(I100,AZ100))))</f>
        <v>0</v>
      </c>
      <c r="BE100" s="4"/>
      <c r="BF100" s="47"/>
      <c r="BG100" s="47"/>
    </row>
    <row r="101" spans="1:59" ht="15" thickBot="1" x14ac:dyDescent="0.4">
      <c r="A101" s="47">
        <v>52</v>
      </c>
      <c r="B101" s="48"/>
      <c r="C101" s="49" t="s">
        <v>226</v>
      </c>
      <c r="D101" s="58" t="s">
        <v>227</v>
      </c>
      <c r="E101" s="14" t="s">
        <v>228</v>
      </c>
      <c r="F101" s="14" t="s">
        <v>229</v>
      </c>
      <c r="G101" s="49" t="s">
        <v>610</v>
      </c>
      <c r="H101" s="50" t="s">
        <v>21</v>
      </c>
      <c r="I101" s="51"/>
      <c r="J101" s="6">
        <v>3554</v>
      </c>
      <c r="K101" s="6">
        <f>COUNTIF(review1_code,J101)</f>
        <v>3</v>
      </c>
      <c r="L101" s="4" t="str">
        <f>VLOOKUP(J101,review1,10,FALSE)</f>
        <v>TriPT9</v>
      </c>
      <c r="M101" s="4" t="str">
        <f>VLOOKUP(J101,review1,11,FALSE)</f>
        <v>LongT5</v>
      </c>
      <c r="N101" s="47" t="b">
        <f>OR(EXACT(L101,H101),EXACT(L101,I101),EXACT(M101,H101),EXACT(M101,I101))</f>
        <v>0</v>
      </c>
      <c r="O101" s="52">
        <f>VLOOKUP(J101,review1,7,FALSE)</f>
        <v>46045</v>
      </c>
      <c r="P101" s="52" t="str">
        <f>VLOOKUP(J101,review1,8,FALSE)</f>
        <v>Fri</v>
      </c>
      <c r="Q101" s="47">
        <f>INT(MOD(J101/10,10))</f>
        <v>5</v>
      </c>
      <c r="R101" s="47" t="str">
        <f>VLOOKUP(J101,review1,9,FALSE)</f>
        <v>NVH 421</v>
      </c>
      <c r="S101" s="47">
        <f>J101+4000</f>
        <v>7554</v>
      </c>
      <c r="T101" s="6">
        <v>7554</v>
      </c>
      <c r="U101" s="6">
        <f>COUNTIF(review2_code,T101)</f>
        <v>3</v>
      </c>
      <c r="V101" s="4" t="str">
        <f>VLOOKUP(T101,review2,10,FALSE)</f>
        <v>TriPT9</v>
      </c>
      <c r="W101" s="4" t="str">
        <f>VLOOKUP(T101,review2,11,FALSE)</f>
        <v>LongT5</v>
      </c>
      <c r="X101" s="4" t="b">
        <f>OR(EXACT(V101,H101),EXACT(V101,I101),EXACT(W101,H101),EXACT(W101,I101))</f>
        <v>0</v>
      </c>
      <c r="Y101" s="53">
        <f>VLOOKUP(T101,review2,7,FALSE)</f>
        <v>46086</v>
      </c>
      <c r="Z101" s="53" t="str">
        <f>VLOOKUP(T101,review2,8,FALSE)</f>
        <v>Thu</v>
      </c>
      <c r="AA101" s="47">
        <f>INT(MOD(T101/10,10))</f>
        <v>5</v>
      </c>
      <c r="AB101" s="47" t="e">
        <f>VLOOKUP(J101,review2,9,FALSE)</f>
        <v>#N/A</v>
      </c>
      <c r="AC101" s="47"/>
      <c r="AD101" s="6">
        <v>14311</v>
      </c>
      <c r="AE101" s="6">
        <f>COUNTIF(review3_code,AD101)</f>
        <v>3</v>
      </c>
      <c r="AF101" s="54" t="str">
        <f>VLOOKUP(AD101,review3,10,FALSE)</f>
        <v>HuongNTC2</v>
      </c>
      <c r="AG101" s="54" t="str">
        <f>VLOOKUP(AD101,review3,11,FALSE)</f>
        <v>VanTTN2</v>
      </c>
      <c r="AH101" s="47" t="b">
        <f>OR(EXACT(AF101,H101),EXACT(AF101,I101),EXACT(AG101,H101),EXACT(AG101,I101))</f>
        <v>0</v>
      </c>
      <c r="AI101" s="47" t="b">
        <f>OR(EXACT(AF101,V101),EXACT(AF101,W101),EXACT(AG101,V101),EXACT(AG101,W101))</f>
        <v>0</v>
      </c>
      <c r="AJ101" s="53">
        <f>VLOOKUP(AD101,review3,7,FALSE)</f>
        <v>46133</v>
      </c>
      <c r="AK101" s="53" t="str">
        <f>VLOOKUP(AD101,review3,8,FALSE)</f>
        <v>Tue</v>
      </c>
      <c r="AL101" s="47">
        <f>VLOOKUP(AD101,review3,4,FALSE)</f>
        <v>1</v>
      </c>
      <c r="AM101" s="47" t="str">
        <f>VLOOKUP(AD101,review3,9,FALSE)</f>
        <v>NVH.414</v>
      </c>
      <c r="AN101" s="55"/>
      <c r="AO101" t="s">
        <v>688</v>
      </c>
      <c r="AP101" s="56">
        <v>401</v>
      </c>
      <c r="AQ101" s="47" t="str">
        <f>VLOOKUP(AP101,defense1_list,7,FALSE)</f>
        <v>HuongNTC2_NguyenTT15_SangNM18_VanTTN2_ThinhDP2</v>
      </c>
      <c r="AR101" s="57">
        <f>COUNTIF(defense1_forgroup_code,AP101)</f>
        <v>7</v>
      </c>
      <c r="AS101" s="4" t="b">
        <f>ISNUMBER(SEARCH(H101,AQ101))</f>
        <v>0</v>
      </c>
      <c r="AT101" s="4" t="b">
        <f>AND(NOT(ISBLANK(I101)),(ISNUMBER(SEARCH(I101,AQ101))))</f>
        <v>0</v>
      </c>
      <c r="AU101" s="4" t="b">
        <f>(IFERROR(SEARCH(AF101,AQ101),0)+IFERROR(SEARCH(AG101,AQ101),0))&gt;0</f>
        <v>1</v>
      </c>
      <c r="AV101" s="47"/>
      <c r="AW101" s="47"/>
      <c r="AX101" s="47"/>
      <c r="AY101" s="47"/>
      <c r="AZ101" s="128"/>
      <c r="BA101" s="47" t="e">
        <f>VLOOKUP(AZ101,defense2_list,7,FALSE)</f>
        <v>#N/A</v>
      </c>
      <c r="BB101" s="57">
        <f>COUNTIF(defense2_forgroup_code,AZ101)</f>
        <v>0</v>
      </c>
      <c r="BC101" s="4" t="b">
        <f>ISNUMBER(SEARCH(H101,BA101))</f>
        <v>0</v>
      </c>
      <c r="BD101" s="4" t="b">
        <f>AND(NOT(ISBLANK(I101)),(ISNUMBER(SEARCH(I101,AZ101))))</f>
        <v>0</v>
      </c>
      <c r="BE101" s="4"/>
      <c r="BF101" s="47"/>
      <c r="BG101" s="47"/>
    </row>
    <row r="102" spans="1:59" ht="15" thickBot="1" x14ac:dyDescent="0.4">
      <c r="A102" s="47">
        <v>94</v>
      </c>
      <c r="B102" s="48"/>
      <c r="C102" s="49" t="s">
        <v>230</v>
      </c>
      <c r="D102" s="58" t="s">
        <v>231</v>
      </c>
      <c r="E102" s="14" t="s">
        <v>232</v>
      </c>
      <c r="F102" s="14" t="s">
        <v>233</v>
      </c>
      <c r="G102" s="49" t="s">
        <v>69</v>
      </c>
      <c r="H102" s="50" t="s">
        <v>17</v>
      </c>
      <c r="I102" s="51"/>
      <c r="J102" s="6">
        <v>3611</v>
      </c>
      <c r="K102" s="6">
        <f>COUNTIF(review1_code,J102)</f>
        <v>3</v>
      </c>
      <c r="L102" s="4" t="str">
        <f>VLOOKUP(J102,review1,10,FALSE)</f>
        <v>HuongNTC2</v>
      </c>
      <c r="M102" s="4" t="str">
        <f>VLOOKUP(J102,review1,11,FALSE)</f>
        <v>TaiNT51</v>
      </c>
      <c r="N102" s="47" t="b">
        <f>OR(EXACT(L102,H102),EXACT(L102,I102),EXACT(M102,H102),EXACT(M102,I102))</f>
        <v>0</v>
      </c>
      <c r="O102" s="52">
        <f>VLOOKUP(J102,review1,7,FALSE)</f>
        <v>46046</v>
      </c>
      <c r="P102" s="52" t="str">
        <f>VLOOKUP(J102,review1,8,FALSE)</f>
        <v>Sat</v>
      </c>
      <c r="Q102" s="47">
        <f>INT(MOD(J102/10,10))</f>
        <v>1</v>
      </c>
      <c r="R102" s="47" t="str">
        <f>VLOOKUP(J102,review1,9,FALSE)</f>
        <v>NVH G.01</v>
      </c>
      <c r="S102" s="47">
        <f>J102+4000</f>
        <v>7611</v>
      </c>
      <c r="T102" s="6">
        <v>7611</v>
      </c>
      <c r="U102" s="6">
        <f>COUNTIF(review2_code,T102)</f>
        <v>3</v>
      </c>
      <c r="V102" s="4" t="str">
        <f>VLOOKUP(T102,review2,10,FALSE)</f>
        <v>HuongNTC2</v>
      </c>
      <c r="W102" s="4" t="str">
        <f>VLOOKUP(T102,review2,11,FALSE)</f>
        <v>TaiNT51</v>
      </c>
      <c r="X102" s="4" t="b">
        <f>OR(EXACT(V102,H102),EXACT(V102,I102),EXACT(W102,H102),EXACT(W102,I102))</f>
        <v>0</v>
      </c>
      <c r="Y102" s="53">
        <f>VLOOKUP(T102,review2,7,FALSE)</f>
        <v>46087</v>
      </c>
      <c r="Z102" s="53" t="str">
        <f>VLOOKUP(T102,review2,8,FALSE)</f>
        <v>Fri</v>
      </c>
      <c r="AA102" s="47">
        <f>INT(MOD(T102/10,10))</f>
        <v>1</v>
      </c>
      <c r="AB102" s="47" t="e">
        <f>VLOOKUP(J102,review2,9,FALSE)</f>
        <v>#N/A</v>
      </c>
      <c r="AC102" s="47"/>
      <c r="AD102" s="6">
        <v>14331</v>
      </c>
      <c r="AE102" s="6">
        <f>COUNTIF(review3_code,AD102)</f>
        <v>3</v>
      </c>
      <c r="AF102" s="54" t="str">
        <f>VLOOKUP(AD102,review3,10,FALSE)</f>
        <v>TamPM</v>
      </c>
      <c r="AG102" s="54" t="str">
        <f>VLOOKUP(AD102,review3,11,FALSE)</f>
        <v>LamNN15</v>
      </c>
      <c r="AH102" s="47" t="b">
        <f>OR(EXACT(AF102,H102),EXACT(AF102,I102),EXACT(AG102,H102),EXACT(AG102,I102))</f>
        <v>0</v>
      </c>
      <c r="AI102" s="47" t="b">
        <f>OR(EXACT(AF102,V102),EXACT(AF102,W102),EXACT(AG102,V102),EXACT(AG102,W102))</f>
        <v>0</v>
      </c>
      <c r="AJ102" s="53">
        <f>VLOOKUP(AD102,review3,7,FALSE)</f>
        <v>46133</v>
      </c>
      <c r="AK102" s="53" t="str">
        <f>VLOOKUP(AD102,review3,8,FALSE)</f>
        <v>Tue</v>
      </c>
      <c r="AL102" s="47">
        <f>VLOOKUP(AD102,review3,4,FALSE)</f>
        <v>3</v>
      </c>
      <c r="AM102" s="47" t="str">
        <f>VLOOKUP(AD102,review3,9,FALSE)</f>
        <v>NVH.415</v>
      </c>
      <c r="AN102" s="55"/>
      <c r="AO102" t="s">
        <v>688</v>
      </c>
      <c r="AP102" s="56">
        <v>102</v>
      </c>
      <c r="AQ102" s="47" t="str">
        <f>VLOOKUP(AP102,defense1_list,7,FALSE)</f>
        <v>DucDNM2_NgocTTM4_HoangNT20_KiemHH_LamNN15</v>
      </c>
      <c r="AR102" s="57">
        <f>COUNTIF(defense1_forgroup_code,AP102)</f>
        <v>7</v>
      </c>
      <c r="AS102" s="4" t="b">
        <f>ISNUMBER(SEARCH(H102,AQ102))</f>
        <v>0</v>
      </c>
      <c r="AT102" s="4" t="b">
        <f>AND(NOT(ISBLANK(I102)),(ISNUMBER(SEARCH(I102,AQ102))))</f>
        <v>0</v>
      </c>
      <c r="AU102" s="4" t="b">
        <f>(IFERROR(SEARCH(AF102,AQ102),0)+IFERROR(SEARCH(AG102,AQ102),0))&gt;0</f>
        <v>1</v>
      </c>
      <c r="AV102" s="47"/>
      <c r="AW102" s="47"/>
      <c r="AX102" s="47"/>
      <c r="AY102" s="47"/>
      <c r="AZ102" s="128"/>
      <c r="BA102" s="47" t="e">
        <f>VLOOKUP(AZ102,defense2_list,7,FALSE)</f>
        <v>#N/A</v>
      </c>
      <c r="BB102" s="57">
        <f>COUNTIF(defense2_forgroup_code,AZ102)</f>
        <v>0</v>
      </c>
      <c r="BC102" s="4" t="b">
        <f>ISNUMBER(SEARCH(H102,BA102))</f>
        <v>0</v>
      </c>
      <c r="BD102" s="4" t="b">
        <f>AND(NOT(ISBLANK(I102)),(ISNUMBER(SEARCH(I102,AZ102))))</f>
        <v>0</v>
      </c>
      <c r="BE102" s="4"/>
      <c r="BF102" s="47"/>
      <c r="BG102" s="47"/>
    </row>
    <row r="103" spans="1:59" ht="15" thickBot="1" x14ac:dyDescent="0.4">
      <c r="A103" s="47">
        <v>67</v>
      </c>
      <c r="B103" s="48"/>
      <c r="C103" s="49" t="s">
        <v>234</v>
      </c>
      <c r="D103" s="58" t="s">
        <v>235</v>
      </c>
      <c r="E103" s="14" t="s">
        <v>236</v>
      </c>
      <c r="F103" s="14" t="s">
        <v>611</v>
      </c>
      <c r="G103" s="49" t="s">
        <v>69</v>
      </c>
      <c r="H103" s="50" t="s">
        <v>17</v>
      </c>
      <c r="I103" s="51"/>
      <c r="J103" s="6">
        <v>3613</v>
      </c>
      <c r="K103" s="6">
        <f>COUNTIF(review1_code,J103)</f>
        <v>3</v>
      </c>
      <c r="L103" s="4" t="str">
        <f>VLOOKUP(J103,review1,10,FALSE)</f>
        <v>NhanDT35</v>
      </c>
      <c r="M103" s="4" t="str">
        <f>VLOOKUP(J103,review1,11,FALSE)</f>
        <v>VuLNS</v>
      </c>
      <c r="N103" s="47" t="b">
        <f>OR(EXACT(L103,H103),EXACT(L103,I103),EXACT(M103,H103),EXACT(M103,I103))</f>
        <v>0</v>
      </c>
      <c r="O103" s="52">
        <f>VLOOKUP(J103,review1,7,FALSE)</f>
        <v>46046</v>
      </c>
      <c r="P103" s="52" t="str">
        <f>VLOOKUP(J103,review1,8,FALSE)</f>
        <v>Sat</v>
      </c>
      <c r="Q103" s="47">
        <f>INT(MOD(J103/10,10))</f>
        <v>1</v>
      </c>
      <c r="R103" s="47" t="str">
        <f>VLOOKUP(J103,review1,9,FALSE)</f>
        <v>NVH 420</v>
      </c>
      <c r="S103" s="47">
        <f>J103+4000</f>
        <v>7613</v>
      </c>
      <c r="T103" s="6">
        <v>7613</v>
      </c>
      <c r="U103" s="6">
        <f>COUNTIF(review2_code,T103)</f>
        <v>3</v>
      </c>
      <c r="V103" s="4" t="str">
        <f>VLOOKUP(T103,review2,10,FALSE)</f>
        <v>NhanDT35</v>
      </c>
      <c r="W103" s="4" t="str">
        <f>VLOOKUP(T103,review2,11,FALSE)</f>
        <v>VuLNS</v>
      </c>
      <c r="X103" s="4" t="b">
        <f>OR(EXACT(V103,H103),EXACT(V103,I103),EXACT(W103,H103),EXACT(W103,I103))</f>
        <v>0</v>
      </c>
      <c r="Y103" s="53">
        <f>VLOOKUP(T103,review2,7,FALSE)</f>
        <v>46087</v>
      </c>
      <c r="Z103" s="53" t="str">
        <f>VLOOKUP(T103,review2,8,FALSE)</f>
        <v>Fri</v>
      </c>
      <c r="AA103" s="47">
        <f>INT(MOD(T103/10,10))</f>
        <v>1</v>
      </c>
      <c r="AB103" s="47" t="e">
        <f>VLOOKUP(J103,review2,9,FALSE)</f>
        <v>#N/A</v>
      </c>
      <c r="AC103" s="47"/>
      <c r="AD103" s="6">
        <v>14431</v>
      </c>
      <c r="AE103" s="6">
        <f>COUNTIF(review3_code,AD103)</f>
        <v>3</v>
      </c>
      <c r="AF103" s="54" t="str">
        <f>VLOOKUP(AD103,review3,10,FALSE)</f>
        <v>TaiNT51</v>
      </c>
      <c r="AG103" s="54" t="str">
        <f>VLOOKUP(AD103,review3,11,FALSE)</f>
        <v>LamNN15</v>
      </c>
      <c r="AH103" s="47" t="b">
        <f>OR(EXACT(AF103,H103),EXACT(AF103,I103),EXACT(AG103,H103),EXACT(AG103,I103))</f>
        <v>0</v>
      </c>
      <c r="AI103" s="47" t="b">
        <f>OR(EXACT(AF103,V103),EXACT(AF103,W103),EXACT(AG103,V103),EXACT(AG103,W103))</f>
        <v>0</v>
      </c>
      <c r="AJ103" s="53">
        <f>VLOOKUP(AD103,review3,7,FALSE)</f>
        <v>46134</v>
      </c>
      <c r="AK103" s="53" t="str">
        <f>VLOOKUP(AD103,review3,8,FALSE)</f>
        <v>Wed</v>
      </c>
      <c r="AL103" s="47">
        <f>VLOOKUP(AD103,review3,4,FALSE)</f>
        <v>3</v>
      </c>
      <c r="AM103" s="47" t="str">
        <f>VLOOKUP(AD103,review3,9,FALSE)</f>
        <v>NVH.415</v>
      </c>
      <c r="AN103" s="55"/>
      <c r="AO103" t="s">
        <v>688</v>
      </c>
      <c r="AP103" s="56">
        <v>102</v>
      </c>
      <c r="AQ103" s="47" t="str">
        <f>VLOOKUP(AP103,defense1_list,7,FALSE)</f>
        <v>DucDNM2_NgocTTM4_HoangNT20_KiemHH_LamNN15</v>
      </c>
      <c r="AR103" s="57">
        <f>COUNTIF(defense1_forgroup_code,AP103)</f>
        <v>7</v>
      </c>
      <c r="AS103" s="4" t="b">
        <f>ISNUMBER(SEARCH(H103,AQ103))</f>
        <v>0</v>
      </c>
      <c r="AT103" s="4" t="b">
        <f>AND(NOT(ISBLANK(I103)),(ISNUMBER(SEARCH(I103,AQ103))))</f>
        <v>0</v>
      </c>
      <c r="AU103" s="4" t="b">
        <f>(IFERROR(SEARCH(AF103,AQ103),0)+IFERROR(SEARCH(AG103,AQ103),0))&gt;0</f>
        <v>1</v>
      </c>
      <c r="AV103" s="47"/>
      <c r="AW103" s="47"/>
      <c r="AX103" s="47"/>
      <c r="AY103" s="47"/>
      <c r="AZ103" s="128"/>
      <c r="BA103" s="47" t="e">
        <f>VLOOKUP(AZ103,defense2_list,7,FALSE)</f>
        <v>#N/A</v>
      </c>
      <c r="BB103" s="57">
        <f>COUNTIF(defense2_forgroup_code,AZ103)</f>
        <v>0</v>
      </c>
      <c r="BC103" s="4" t="b">
        <f>ISNUMBER(SEARCH(H103,BA103))</f>
        <v>0</v>
      </c>
      <c r="BD103" s="4" t="b">
        <f>AND(NOT(ISBLANK(I103)),(ISNUMBER(SEARCH(I103,AZ103))))</f>
        <v>0</v>
      </c>
      <c r="BE103" s="4"/>
      <c r="BF103" s="47"/>
      <c r="BG103" s="47"/>
    </row>
    <row r="104" spans="1:59" ht="15" thickBot="1" x14ac:dyDescent="0.4">
      <c r="A104" s="47">
        <v>84</v>
      </c>
      <c r="B104" s="48"/>
      <c r="C104" s="49" t="s">
        <v>241</v>
      </c>
      <c r="D104" s="58" t="s">
        <v>242</v>
      </c>
      <c r="E104" s="14" t="s">
        <v>243</v>
      </c>
      <c r="F104" s="14" t="s">
        <v>244</v>
      </c>
      <c r="G104" s="49" t="s">
        <v>70</v>
      </c>
      <c r="H104" s="50" t="s">
        <v>71</v>
      </c>
      <c r="I104" s="51"/>
      <c r="J104" s="6">
        <v>3631</v>
      </c>
      <c r="K104" s="6">
        <f>COUNTIF(review1_code,J104)</f>
        <v>3</v>
      </c>
      <c r="L104" s="4" t="str">
        <f>VLOOKUP(J104,review1,10,FALSE)</f>
        <v>HuongNTC2</v>
      </c>
      <c r="M104" s="4" t="str">
        <f>VLOOKUP(J104,review1,11,FALSE)</f>
        <v>SangNM18</v>
      </c>
      <c r="N104" s="47" t="b">
        <f>OR(EXACT(L104,H104),EXACT(L104,I104),EXACT(M104,H104),EXACT(M104,I104))</f>
        <v>0</v>
      </c>
      <c r="O104" s="52">
        <f>VLOOKUP(J104,review1,7,FALSE)</f>
        <v>46046</v>
      </c>
      <c r="P104" s="52" t="str">
        <f>VLOOKUP(J104,review1,8,FALSE)</f>
        <v>Sat</v>
      </c>
      <c r="Q104" s="47">
        <f>INT(MOD(J104/10,10))</f>
        <v>3</v>
      </c>
      <c r="R104" s="47" t="str">
        <f>VLOOKUP(J104,review1,9,FALSE)</f>
        <v>NVH G.01</v>
      </c>
      <c r="S104" s="47">
        <f>J104+4000</f>
        <v>7631</v>
      </c>
      <c r="T104" s="6">
        <v>7631</v>
      </c>
      <c r="U104" s="6">
        <f>COUNTIF(review2_code,T104)</f>
        <v>3</v>
      </c>
      <c r="V104" s="4" t="str">
        <f>VLOOKUP(T104,review2,10,FALSE)</f>
        <v>HuongNTC2</v>
      </c>
      <c r="W104" s="4" t="str">
        <f>VLOOKUP(T104,review2,11,FALSE)</f>
        <v>SangNM18</v>
      </c>
      <c r="X104" s="4" t="b">
        <f>OR(EXACT(V104,H104),EXACT(V104,I104),EXACT(W104,H104),EXACT(W104,I104))</f>
        <v>0</v>
      </c>
      <c r="Y104" s="53">
        <f>VLOOKUP(T104,review2,7,FALSE)</f>
        <v>46087</v>
      </c>
      <c r="Z104" s="53" t="str">
        <f>VLOOKUP(T104,review2,8,FALSE)</f>
        <v>Fri</v>
      </c>
      <c r="AA104" s="47">
        <f>INT(MOD(T104/10,10))</f>
        <v>3</v>
      </c>
      <c r="AB104" s="47" t="e">
        <f>VLOOKUP(J104,review2,9,FALSE)</f>
        <v>#N/A</v>
      </c>
      <c r="AC104" s="47"/>
      <c r="AD104" s="6">
        <v>14622</v>
      </c>
      <c r="AE104" s="6">
        <f>COUNTIF(review3_code,AD104)</f>
        <v>3</v>
      </c>
      <c r="AF104" s="54" t="str">
        <f>VLOOKUP(AD104,review3,10,FALSE)</f>
        <v>DucDNM2</v>
      </c>
      <c r="AG104" s="54" t="str">
        <f>VLOOKUP(AD104,review3,11,FALSE)</f>
        <v>MinhTTH5</v>
      </c>
      <c r="AH104" s="47" t="b">
        <f>OR(EXACT(AF104,H104),EXACT(AF104,I104),EXACT(AG104,H104),EXACT(AG104,I104))</f>
        <v>0</v>
      </c>
      <c r="AI104" s="47" t="b">
        <f>OR(EXACT(AF104,V104),EXACT(AF104,W104),EXACT(AG104,V104),EXACT(AG104,W104))</f>
        <v>0</v>
      </c>
      <c r="AJ104" s="53">
        <f>VLOOKUP(AD104,review3,7,FALSE)</f>
        <v>46136</v>
      </c>
      <c r="AK104" s="53" t="str">
        <f>VLOOKUP(AD104,review3,8,FALSE)</f>
        <v>Fri</v>
      </c>
      <c r="AL104" s="47">
        <f>VLOOKUP(AD104,review3,4,FALSE)</f>
        <v>2</v>
      </c>
      <c r="AM104" s="47" t="str">
        <f>VLOOKUP(AD104,review3,9,FALSE)</f>
        <v>NVH.301</v>
      </c>
      <c r="AN104" s="55"/>
      <c r="AO104" t="s">
        <v>688</v>
      </c>
      <c r="AP104" s="56">
        <v>203</v>
      </c>
      <c r="AQ104" s="47" t="str">
        <f>VLOOKUP(AP104,defense1_list,7,FALSE)</f>
        <v>DucDNM2_HungLD5_NhanDT35_TriPT9_LamNN15</v>
      </c>
      <c r="AR104" s="57">
        <f>COUNTIF(defense1_forgroup_code,AP104)</f>
        <v>7</v>
      </c>
      <c r="AS104" s="4" t="b">
        <f>ISNUMBER(SEARCH(H104,AQ104))</f>
        <v>0</v>
      </c>
      <c r="AT104" s="4" t="b">
        <f>AND(NOT(ISBLANK(I104)),(ISNUMBER(SEARCH(I104,AQ104))))</f>
        <v>0</v>
      </c>
      <c r="AU104" s="4" t="b">
        <f>(IFERROR(SEARCH(AF104,AQ104),0)+IFERROR(SEARCH(AG104,AQ104),0))&gt;0</f>
        <v>1</v>
      </c>
      <c r="AV104" s="47"/>
      <c r="AW104" s="47"/>
      <c r="AX104" s="47"/>
      <c r="AY104" s="47"/>
      <c r="AZ104" s="128"/>
      <c r="BA104" s="47" t="e">
        <f>VLOOKUP(AZ104,defense2_list,7,FALSE)</f>
        <v>#N/A</v>
      </c>
      <c r="BB104" s="57">
        <f>COUNTIF(defense2_forgroup_code,AZ104)</f>
        <v>0</v>
      </c>
      <c r="BC104" s="4" t="b">
        <f>ISNUMBER(SEARCH(H104,BA104))</f>
        <v>0</v>
      </c>
      <c r="BD104" s="4" t="b">
        <f>AND(NOT(ISBLANK(I104)),(ISNUMBER(SEARCH(I104,AZ104))))</f>
        <v>0</v>
      </c>
      <c r="BE104" s="4"/>
      <c r="BF104" s="47"/>
      <c r="BG104" s="47"/>
    </row>
    <row r="105" spans="1:59" ht="15" thickBot="1" x14ac:dyDescent="0.4">
      <c r="A105" s="47">
        <v>72</v>
      </c>
      <c r="B105" s="48"/>
      <c r="C105" s="49" t="s">
        <v>249</v>
      </c>
      <c r="D105" s="58" t="s">
        <v>250</v>
      </c>
      <c r="E105" s="14" t="s">
        <v>251</v>
      </c>
      <c r="F105" s="14" t="s">
        <v>252</v>
      </c>
      <c r="G105" s="49" t="s">
        <v>64</v>
      </c>
      <c r="H105" s="50" t="s">
        <v>24</v>
      </c>
      <c r="I105" s="51"/>
      <c r="J105" s="6">
        <v>3642</v>
      </c>
      <c r="K105" s="6">
        <f>COUNTIF(review1_code,J105)</f>
        <v>3</v>
      </c>
      <c r="L105" s="4" t="str">
        <f>VLOOKUP(J105,review1,10,FALSE)</f>
        <v>HuongNTC2</v>
      </c>
      <c r="M105" s="4" t="str">
        <f>VLOOKUP(J105,review1,11,FALSE)</f>
        <v>TamPM</v>
      </c>
      <c r="N105" s="47" t="b">
        <f>OR(EXACT(L105,H105),EXACT(L105,I105),EXACT(M105,H105),EXACT(M105,I105))</f>
        <v>0</v>
      </c>
      <c r="O105" s="52">
        <f>VLOOKUP(J105,review1,7,FALSE)</f>
        <v>46046</v>
      </c>
      <c r="P105" s="52" t="str">
        <f>VLOOKUP(J105,review1,8,FALSE)</f>
        <v>Sat</v>
      </c>
      <c r="Q105" s="47">
        <f>INT(MOD(J105/10,10))</f>
        <v>4</v>
      </c>
      <c r="R105" s="47" t="str">
        <f>VLOOKUP(J105,review1,9,FALSE)</f>
        <v>NVH G.01</v>
      </c>
      <c r="S105" s="47">
        <f>J105+4000</f>
        <v>7642</v>
      </c>
      <c r="T105" s="6">
        <v>7642</v>
      </c>
      <c r="U105" s="6">
        <f>COUNTIF(review2_code,T105)</f>
        <v>3</v>
      </c>
      <c r="V105" s="4" t="str">
        <f>VLOOKUP(T105,review2,10,FALSE)</f>
        <v>HuongNTC2</v>
      </c>
      <c r="W105" s="4" t="str">
        <f>VLOOKUP(T105,review2,11,FALSE)</f>
        <v>TamPM</v>
      </c>
      <c r="X105" s="4" t="b">
        <f>OR(EXACT(V105,H105),EXACT(V105,I105),EXACT(W105,H105),EXACT(W105,I105))</f>
        <v>0</v>
      </c>
      <c r="Y105" s="53">
        <f>VLOOKUP(T105,review2,7,FALSE)</f>
        <v>46087</v>
      </c>
      <c r="Z105" s="53" t="str">
        <f>VLOOKUP(T105,review2,8,FALSE)</f>
        <v>Fri</v>
      </c>
      <c r="AA105" s="47">
        <f>INT(MOD(T105/10,10))</f>
        <v>4</v>
      </c>
      <c r="AB105" s="47" t="e">
        <f>VLOOKUP(J105,review2,9,FALSE)</f>
        <v>#N/A</v>
      </c>
      <c r="AC105" s="47"/>
      <c r="AD105" s="6">
        <v>14512</v>
      </c>
      <c r="AE105" s="6">
        <f>COUNTIF(review3_code,AD105)</f>
        <v>3</v>
      </c>
      <c r="AF105" s="54" t="str">
        <f>VLOOKUP(AD105,review3,10,FALSE)</f>
        <v>TaiNT51</v>
      </c>
      <c r="AG105" s="54" t="str">
        <f>VLOOKUP(AD105,review3,11,FALSE)</f>
        <v>PhuongLHK</v>
      </c>
      <c r="AH105" s="47" t="b">
        <f>OR(EXACT(AF105,H105),EXACT(AF105,I105),EXACT(AG105,H105),EXACT(AG105,I105))</f>
        <v>0</v>
      </c>
      <c r="AI105" s="47" t="b">
        <f>OR(EXACT(AF105,V105),EXACT(AF105,W105),EXACT(AG105,V105),EXACT(AG105,W105))</f>
        <v>0</v>
      </c>
      <c r="AJ105" s="53">
        <f>VLOOKUP(AD105,review3,7,FALSE)</f>
        <v>46135</v>
      </c>
      <c r="AK105" s="53" t="str">
        <f>VLOOKUP(AD105,review3,8,FALSE)</f>
        <v>Thu</v>
      </c>
      <c r="AL105" s="47">
        <f>VLOOKUP(AD105,review3,4,FALSE)</f>
        <v>1</v>
      </c>
      <c r="AM105" s="47" t="str">
        <f>VLOOKUP(AD105,review3,9,FALSE)</f>
        <v>NVH.415</v>
      </c>
      <c r="AN105" s="55"/>
      <c r="AO105" t="s">
        <v>688</v>
      </c>
      <c r="AP105" s="56">
        <v>302</v>
      </c>
      <c r="AQ105" s="47" t="str">
        <f>VLOOKUP(AP105,defense1_list,7,FALSE)</f>
        <v>TaiNT51_QuynhTNN4_AnNDH2_MinhTTH5_TruongLV11</v>
      </c>
      <c r="AR105" s="57">
        <f>COUNTIF(defense1_forgroup_code,AP105)</f>
        <v>8</v>
      </c>
      <c r="AS105" s="4" t="b">
        <f>ISNUMBER(SEARCH(H105,AQ105))</f>
        <v>0</v>
      </c>
      <c r="AT105" s="4" t="b">
        <f>AND(NOT(ISBLANK(I105)),(ISNUMBER(SEARCH(I105,AQ105))))</f>
        <v>0</v>
      </c>
      <c r="AU105" s="4" t="b">
        <f>(IFERROR(SEARCH(AF105,AQ105),0)+IFERROR(SEARCH(AG105,AQ105),0))&gt;0</f>
        <v>1</v>
      </c>
      <c r="AV105" s="47"/>
      <c r="AW105" s="47"/>
      <c r="AX105" s="47"/>
      <c r="AY105" s="47"/>
      <c r="AZ105" s="128"/>
      <c r="BA105" s="47" t="e">
        <f>VLOOKUP(AZ105,defense2_list,7,FALSE)</f>
        <v>#N/A</v>
      </c>
      <c r="BB105" s="57">
        <f>COUNTIF(defense2_forgroup_code,AZ105)</f>
        <v>0</v>
      </c>
      <c r="BC105" s="4" t="b">
        <f>ISNUMBER(SEARCH(H105,BA105))</f>
        <v>0</v>
      </c>
      <c r="BD105" s="4" t="b">
        <f>AND(NOT(ISBLANK(I105)),(ISNUMBER(SEARCH(I105,AZ105))))</f>
        <v>0</v>
      </c>
      <c r="BE105" s="4"/>
      <c r="BF105" s="47"/>
      <c r="BG105" s="47"/>
    </row>
    <row r="106" spans="1:59" ht="29.5" thickBot="1" x14ac:dyDescent="0.4">
      <c r="A106" s="47">
        <v>48</v>
      </c>
      <c r="B106" s="48"/>
      <c r="C106" s="49" t="s">
        <v>253</v>
      </c>
      <c r="D106" s="58" t="s">
        <v>254</v>
      </c>
      <c r="E106" s="14" t="s">
        <v>255</v>
      </c>
      <c r="F106" s="14" t="s">
        <v>256</v>
      </c>
      <c r="G106" s="49" t="s">
        <v>612</v>
      </c>
      <c r="H106" s="50" t="s">
        <v>23</v>
      </c>
      <c r="I106" s="51" t="s">
        <v>88</v>
      </c>
      <c r="J106" s="6">
        <v>3651</v>
      </c>
      <c r="K106" s="6">
        <f>COUNTIF(review1_code,J106)</f>
        <v>3</v>
      </c>
      <c r="L106" s="4" t="str">
        <f>VLOOKUP(J106,review1,10,FALSE)</f>
        <v>TaiNT51</v>
      </c>
      <c r="M106" s="4" t="str">
        <f>VLOOKUP(J106,review1,11,FALSE)</f>
        <v>LamNN15</v>
      </c>
      <c r="N106" s="47" t="b">
        <f>OR(EXACT(L106,H106),EXACT(L106,I106),EXACT(M106,H106),EXACT(M106,I106))</f>
        <v>0</v>
      </c>
      <c r="O106" s="52">
        <f>VLOOKUP(J106,review1,7,FALSE)</f>
        <v>46046</v>
      </c>
      <c r="P106" s="52" t="str">
        <f>VLOOKUP(J106,review1,8,FALSE)</f>
        <v>Sat</v>
      </c>
      <c r="Q106" s="47">
        <f>INT(MOD(J106/10,10))</f>
        <v>5</v>
      </c>
      <c r="R106" s="47" t="str">
        <f>VLOOKUP(J106,review1,9,FALSE)</f>
        <v>NVH G.02</v>
      </c>
      <c r="S106" s="47">
        <f>J106+4000</f>
        <v>7651</v>
      </c>
      <c r="T106" s="6">
        <v>7651</v>
      </c>
      <c r="U106" s="6">
        <f>COUNTIF(review2_code,T106)</f>
        <v>3</v>
      </c>
      <c r="V106" s="4" t="str">
        <f>VLOOKUP(T106,review2,10,FALSE)</f>
        <v>TaiNT51</v>
      </c>
      <c r="W106" s="4" t="str">
        <f>VLOOKUP(T106,review2,11,FALSE)</f>
        <v>LamNN15</v>
      </c>
      <c r="X106" s="4" t="b">
        <f>OR(EXACT(V106,H106),EXACT(V106,I106),EXACT(W106,H106),EXACT(W106,I106))</f>
        <v>0</v>
      </c>
      <c r="Y106" s="53">
        <f>VLOOKUP(T106,review2,7,FALSE)</f>
        <v>46087</v>
      </c>
      <c r="Z106" s="53" t="str">
        <f>VLOOKUP(T106,review2,8,FALSE)</f>
        <v>Fri</v>
      </c>
      <c r="AA106" s="47">
        <f>INT(MOD(T106/10,10))</f>
        <v>5</v>
      </c>
      <c r="AB106" s="47" t="e">
        <f>VLOOKUP(J106,review2,9,FALSE)</f>
        <v>#N/A</v>
      </c>
      <c r="AC106" s="47"/>
      <c r="AD106" s="6">
        <v>14233</v>
      </c>
      <c r="AE106" s="6">
        <f>COUNTIF(review3_code,AD106)</f>
        <v>3</v>
      </c>
      <c r="AF106" s="54" t="str">
        <f>VLOOKUP(AD106,review3,10,FALSE)</f>
        <v>TamPM</v>
      </c>
      <c r="AG106" s="54" t="str">
        <f>VLOOKUP(AD106,review3,11,FALSE)</f>
        <v>HoangNT20</v>
      </c>
      <c r="AH106" s="47" t="b">
        <f>OR(EXACT(AF106,H106),EXACT(AF106,I106),EXACT(AG106,H106),EXACT(AG106,I106))</f>
        <v>0</v>
      </c>
      <c r="AI106" s="47" t="b">
        <f>OR(EXACT(AF106,V106),EXACT(AF106,W106),EXACT(AG106,V106),EXACT(AG106,W106))</f>
        <v>0</v>
      </c>
      <c r="AJ106" s="53">
        <f>VLOOKUP(AD106,review3,7,FALSE)</f>
        <v>46132</v>
      </c>
      <c r="AK106" s="53" t="str">
        <f>VLOOKUP(AD106,review3,8,FALSE)</f>
        <v>Mon</v>
      </c>
      <c r="AL106" s="47">
        <f>VLOOKUP(AD106,review3,4,FALSE)</f>
        <v>3</v>
      </c>
      <c r="AM106" s="47" t="str">
        <f>VLOOKUP(AD106,review3,9,FALSE)</f>
        <v>NVH.306</v>
      </c>
      <c r="AN106" s="55"/>
      <c r="AO106" t="s">
        <v>688</v>
      </c>
      <c r="AP106" s="105">
        <v>102</v>
      </c>
      <c r="AQ106" s="106" t="str">
        <f>VLOOKUP(AP106,defense1_list,7,FALSE)</f>
        <v>DucDNM2_NgocTTM4_HoangNT20_KiemHH_LamNN15</v>
      </c>
      <c r="AR106" s="57">
        <f>COUNTIF(defense1_forgroup_code,AP106)</f>
        <v>7</v>
      </c>
      <c r="AS106" s="4" t="b">
        <f>ISNUMBER(SEARCH(H106,AQ106))</f>
        <v>0</v>
      </c>
      <c r="AT106" s="4" t="b">
        <f>AND(NOT(ISBLANK(I106)),(ISNUMBER(SEARCH(I106,AQ106))))</f>
        <v>0</v>
      </c>
      <c r="AU106" s="4" t="b">
        <f>(IFERROR(SEARCH(AF106,AQ106),0)+IFERROR(SEARCH(AG106,AQ106),0))&gt;0</f>
        <v>1</v>
      </c>
      <c r="AV106" s="47"/>
      <c r="AW106" s="47"/>
      <c r="AX106" s="47"/>
      <c r="AY106" s="47"/>
      <c r="AZ106" s="128"/>
      <c r="BA106" s="47" t="e">
        <f>VLOOKUP(AZ106,defense2_list,7,FALSE)</f>
        <v>#N/A</v>
      </c>
      <c r="BB106" s="57">
        <f>COUNTIF(defense2_forgroup_code,AZ106)</f>
        <v>0</v>
      </c>
      <c r="BC106" s="4" t="b">
        <f>ISNUMBER(SEARCH(H106,BA106))</f>
        <v>0</v>
      </c>
      <c r="BD106" s="4" t="b">
        <f>AND(NOT(ISBLANK(I106)),(ISNUMBER(SEARCH(I106,AZ106))))</f>
        <v>0</v>
      </c>
      <c r="BE106" s="4"/>
      <c r="BF106" s="47"/>
      <c r="BG106" s="47"/>
    </row>
    <row r="107" spans="1:59" ht="15" thickBot="1" x14ac:dyDescent="0.4">
      <c r="A107" s="47">
        <v>58</v>
      </c>
      <c r="B107" s="48"/>
      <c r="C107" s="49" t="s">
        <v>257</v>
      </c>
      <c r="D107" s="58" t="s">
        <v>258</v>
      </c>
      <c r="E107" s="14" t="s">
        <v>259</v>
      </c>
      <c r="F107" s="14" t="s">
        <v>260</v>
      </c>
      <c r="G107" s="49" t="s">
        <v>72</v>
      </c>
      <c r="H107" s="50" t="s">
        <v>67</v>
      </c>
      <c r="I107" s="51"/>
      <c r="J107" s="6">
        <v>4431</v>
      </c>
      <c r="K107" s="6">
        <f>COUNTIF(review1_code,J107)</f>
        <v>3</v>
      </c>
      <c r="L107" s="74" t="str">
        <f>VLOOKUP(J107,review1,10,FALSE)</f>
        <v>DucDNM2</v>
      </c>
      <c r="M107" s="74" t="str">
        <f>VLOOKUP(J107,review1,11,FALSE)</f>
        <v>VanTTN2</v>
      </c>
      <c r="N107" s="47" t="b">
        <f>OR(EXACT(L107,H107),EXACT(L107,I107),EXACT(M107,H107),EXACT(M107,I107))</f>
        <v>0</v>
      </c>
      <c r="O107" s="52">
        <f>VLOOKUP(J107,review1,7,FALSE)</f>
        <v>46051</v>
      </c>
      <c r="P107" s="52" t="str">
        <f>VLOOKUP(J107,review1,8,FALSE)</f>
        <v>Thu</v>
      </c>
      <c r="Q107" s="47">
        <f>INT(MOD(J107/10,10))</f>
        <v>3</v>
      </c>
      <c r="R107" s="47" t="str">
        <f>VLOOKUP(J107,review1,9,FALSE)</f>
        <v>LB21 (Thư viên Campus)</v>
      </c>
      <c r="S107" s="47">
        <f>J107+4000</f>
        <v>8431</v>
      </c>
      <c r="T107" s="6">
        <v>8431</v>
      </c>
      <c r="U107" s="6">
        <f>COUNTIF(review2_code,T107)</f>
        <v>3</v>
      </c>
      <c r="V107" s="4" t="str">
        <f>VLOOKUP(T107,review2,10,FALSE)</f>
        <v>DucDNM2</v>
      </c>
      <c r="W107" s="4" t="str">
        <f>VLOOKUP(T107,review2,11,FALSE)</f>
        <v>VanTTN2</v>
      </c>
      <c r="X107" s="4" t="b">
        <f>OR(EXACT(V107,H107),EXACT(V107,I107),EXACT(W107,H107),EXACT(W107,I107))</f>
        <v>0</v>
      </c>
      <c r="Y107" s="53">
        <f>VLOOKUP(T107,review2,7,FALSE)</f>
        <v>46092</v>
      </c>
      <c r="Z107" s="53" t="str">
        <f>VLOOKUP(T107,review2,8,FALSE)</f>
        <v>Wed</v>
      </c>
      <c r="AA107" s="47">
        <f>INT(MOD(T107/10,10))</f>
        <v>3</v>
      </c>
      <c r="AB107" s="47" t="e">
        <f>VLOOKUP(J107,review2,9,FALSE)</f>
        <v>#N/A</v>
      </c>
      <c r="AC107" s="47"/>
      <c r="AD107" s="6">
        <v>14331</v>
      </c>
      <c r="AE107" s="6">
        <f>COUNTIF(review3_code,AD107)</f>
        <v>3</v>
      </c>
      <c r="AF107" s="54" t="str">
        <f>VLOOKUP(AD107,review3,10,FALSE)</f>
        <v>TamPM</v>
      </c>
      <c r="AG107" s="54" t="str">
        <f>VLOOKUP(AD107,review3,11,FALSE)</f>
        <v>LamNN15</v>
      </c>
      <c r="AH107" s="47" t="b">
        <f>OR(EXACT(AF107,H107),EXACT(AF107,I107),EXACT(AG107,H107),EXACT(AG107,I107))</f>
        <v>0</v>
      </c>
      <c r="AI107" s="47" t="b">
        <f>OR(EXACT(AF107,V107),EXACT(AF107,W107),EXACT(AG107,V107),EXACT(AG107,W107))</f>
        <v>0</v>
      </c>
      <c r="AJ107" s="53">
        <f>VLOOKUP(AD107,review3,7,FALSE)</f>
        <v>46133</v>
      </c>
      <c r="AK107" s="53" t="str">
        <f>VLOOKUP(AD107,review3,8,FALSE)</f>
        <v>Tue</v>
      </c>
      <c r="AL107" s="47">
        <f>VLOOKUP(AD107,review3,4,FALSE)</f>
        <v>3</v>
      </c>
      <c r="AM107" s="47" t="str">
        <f>VLOOKUP(AD107,review3,9,FALSE)</f>
        <v>NVH.415</v>
      </c>
      <c r="AN107" s="55"/>
      <c r="AO107" t="s">
        <v>688</v>
      </c>
      <c r="AP107" s="56">
        <v>201</v>
      </c>
      <c r="AQ107" s="47" t="str">
        <f>VLOOKUP(AP107,defense1_list,7,FALSE)</f>
        <v>HuongNTC2_QuynhTNN4_KiemHH_NguHCV_TamPM</v>
      </c>
      <c r="AR107" s="57">
        <f>COUNTIF(defense1_forgroup_code,AP107)</f>
        <v>7</v>
      </c>
      <c r="AS107" s="4" t="b">
        <f>ISNUMBER(SEARCH(H107,AQ107))</f>
        <v>0</v>
      </c>
      <c r="AT107" s="4" t="b">
        <f>AND(NOT(ISBLANK(I107)),(ISNUMBER(SEARCH(I107,AQ107))))</f>
        <v>0</v>
      </c>
      <c r="AU107" s="4" t="b">
        <f>(IFERROR(SEARCH(AF107,AQ107),0)+IFERROR(SEARCH(AG107,AQ107),0))&gt;0</f>
        <v>1</v>
      </c>
      <c r="AV107" s="47"/>
      <c r="AW107" s="47"/>
      <c r="AX107" s="47"/>
      <c r="AY107" s="47"/>
      <c r="AZ107" s="128"/>
      <c r="BA107" s="47" t="e">
        <f>VLOOKUP(AZ107,defense2_list,7,FALSE)</f>
        <v>#N/A</v>
      </c>
      <c r="BB107" s="57">
        <f>COUNTIF(defense2_forgroup_code,AZ107)</f>
        <v>0</v>
      </c>
      <c r="BC107" s="4" t="b">
        <f>ISNUMBER(SEARCH(H107,BA107))</f>
        <v>0</v>
      </c>
      <c r="BD107" s="4" t="b">
        <f>AND(NOT(ISBLANK(I107)),(ISNUMBER(SEARCH(I107,AZ107))))</f>
        <v>0</v>
      </c>
      <c r="BE107" s="4"/>
      <c r="BF107" s="47"/>
      <c r="BG107" s="47"/>
    </row>
    <row r="108" spans="1:59" ht="29.5" thickBot="1" x14ac:dyDescent="0.4">
      <c r="A108" s="47">
        <v>71</v>
      </c>
      <c r="B108" s="48"/>
      <c r="C108" s="49" t="s">
        <v>277</v>
      </c>
      <c r="D108" s="58" t="s">
        <v>278</v>
      </c>
      <c r="E108" s="14" t="s">
        <v>279</v>
      </c>
      <c r="F108" s="14" t="s">
        <v>280</v>
      </c>
      <c r="G108" s="49" t="s">
        <v>612</v>
      </c>
      <c r="H108" s="50" t="s">
        <v>23</v>
      </c>
      <c r="I108" s="51" t="s">
        <v>88</v>
      </c>
      <c r="J108" s="6">
        <v>4151</v>
      </c>
      <c r="K108" s="6">
        <f>COUNTIF(review1_code,J108)</f>
        <v>3</v>
      </c>
      <c r="L108" s="4" t="str">
        <f>VLOOKUP(J108,review1,10,FALSE)</f>
        <v>NhanDT35</v>
      </c>
      <c r="M108" s="4" t="str">
        <f>VLOOKUP(J108,review1,11,FALSE)</f>
        <v>LongT5</v>
      </c>
      <c r="N108" s="47" t="b">
        <f>OR(EXACT(L108,H108),EXACT(L108,I108),EXACT(M108,H108),EXACT(M108,I108))</f>
        <v>0</v>
      </c>
      <c r="O108" s="52">
        <f>VLOOKUP(J108,review1,7,FALSE)</f>
        <v>46048</v>
      </c>
      <c r="P108" s="52" t="str">
        <f>VLOOKUP(J108,review1,8,FALSE)</f>
        <v>Mon</v>
      </c>
      <c r="Q108" s="47">
        <f>INT(MOD(J108/10,10))</f>
        <v>5</v>
      </c>
      <c r="R108" s="47" t="str">
        <f>VLOOKUP(J108,review1,9,FALSE)</f>
        <v>NVH G.01</v>
      </c>
      <c r="S108" s="47">
        <f>J108+4000</f>
        <v>8151</v>
      </c>
      <c r="T108" s="6">
        <v>8151</v>
      </c>
      <c r="U108" s="6">
        <f>COUNTIF(review2_code,T108)</f>
        <v>3</v>
      </c>
      <c r="V108" s="4" t="str">
        <f>VLOOKUP(T108,review2,10,FALSE)</f>
        <v>NhanDT35</v>
      </c>
      <c r="W108" s="4" t="str">
        <f>VLOOKUP(T108,review2,11,FALSE)</f>
        <v>LongT5</v>
      </c>
      <c r="X108" s="4" t="b">
        <f>OR(EXACT(V108,H108),EXACT(V108,I108),EXACT(W108,H108),EXACT(W108,I108))</f>
        <v>0</v>
      </c>
      <c r="Y108" s="53">
        <f>VLOOKUP(T108,review2,7,FALSE)</f>
        <v>46089</v>
      </c>
      <c r="Z108" s="53" t="str">
        <f>VLOOKUP(T108,review2,8,FALSE)</f>
        <v>Sun</v>
      </c>
      <c r="AA108" s="47">
        <f>INT(MOD(T108/10,10))</f>
        <v>5</v>
      </c>
      <c r="AB108" s="47" t="e">
        <f>VLOOKUP(J108,review2,9,FALSE)</f>
        <v>#N/A</v>
      </c>
      <c r="AC108" s="47"/>
      <c r="AD108" s="6">
        <v>14312</v>
      </c>
      <c r="AE108" s="6">
        <f>COUNTIF(review3_code,AD108)</f>
        <v>2</v>
      </c>
      <c r="AF108" s="54" t="str">
        <f>VLOOKUP(AD108,review3,10,FALSE)</f>
        <v>TaiNT51</v>
      </c>
      <c r="AG108" s="54" t="str">
        <f>VLOOKUP(AD108,review3,11,FALSE)</f>
        <v>PhuongLHK</v>
      </c>
      <c r="AH108" s="47" t="b">
        <f>OR(EXACT(AF108,H108),EXACT(AF108,I108),EXACT(AG108,H108),EXACT(AG108,I108))</f>
        <v>0</v>
      </c>
      <c r="AI108" s="47" t="b">
        <f>OR(EXACT(AF108,V108),EXACT(AF108,W108),EXACT(AG108,V108),EXACT(AG108,W108))</f>
        <v>0</v>
      </c>
      <c r="AJ108" s="53">
        <f>VLOOKUP(AD108,review3,7,FALSE)</f>
        <v>46133</v>
      </c>
      <c r="AK108" s="53" t="str">
        <f>VLOOKUP(AD108,review3,8,FALSE)</f>
        <v>Tue</v>
      </c>
      <c r="AL108" s="47">
        <f>VLOOKUP(AD108,review3,4,FALSE)</f>
        <v>1</v>
      </c>
      <c r="AM108" s="47" t="str">
        <f>VLOOKUP(AD108,review3,9,FALSE)</f>
        <v>NVH.415</v>
      </c>
      <c r="AN108" s="55"/>
      <c r="AO108" t="s">
        <v>688</v>
      </c>
      <c r="AP108" s="56">
        <v>304</v>
      </c>
      <c r="AQ108" s="47" t="str">
        <f>VLOOKUP(AP108,defense1_list,7,FALSE)</f>
        <v>PhuongLHK_PhucNT40_SangNM18_VuLNS_NhanDT35</v>
      </c>
      <c r="AR108" s="57">
        <f>COUNTIF(defense1_forgroup_code,AP108)</f>
        <v>7</v>
      </c>
      <c r="AS108" s="4" t="b">
        <f>ISNUMBER(SEARCH(H108,AQ108))</f>
        <v>0</v>
      </c>
      <c r="AT108" s="4" t="b">
        <f>AND(NOT(ISBLANK(I108)),(ISNUMBER(SEARCH(I108,AQ108))))</f>
        <v>0</v>
      </c>
      <c r="AU108" s="4" t="b">
        <f>(IFERROR(SEARCH(AF108,AQ108),0)+IFERROR(SEARCH(AG108,AQ108),0))&gt;0</f>
        <v>1</v>
      </c>
      <c r="AV108" s="47"/>
      <c r="AW108" s="47"/>
      <c r="AX108" s="47"/>
      <c r="AY108" s="47"/>
      <c r="AZ108" s="128"/>
      <c r="BA108" s="47" t="e">
        <f>VLOOKUP(AZ108,defense2_list,7,FALSE)</f>
        <v>#N/A</v>
      </c>
      <c r="BB108" s="57">
        <f>COUNTIF(defense2_forgroup_code,AZ108)</f>
        <v>0</v>
      </c>
      <c r="BC108" s="4" t="b">
        <f>ISNUMBER(SEARCH(H108,BA108))</f>
        <v>0</v>
      </c>
      <c r="BD108" s="4" t="b">
        <f>AND(NOT(ISBLANK(I108)),(ISNUMBER(SEARCH(I108,AZ108))))</f>
        <v>0</v>
      </c>
      <c r="BE108" s="4"/>
      <c r="BF108" s="47"/>
      <c r="BG108" s="47"/>
    </row>
    <row r="109" spans="1:59" ht="29.5" thickBot="1" x14ac:dyDescent="0.4">
      <c r="A109" s="47">
        <v>88</v>
      </c>
      <c r="B109" s="48"/>
      <c r="C109" s="49" t="s">
        <v>281</v>
      </c>
      <c r="D109" s="58" t="s">
        <v>282</v>
      </c>
      <c r="E109" s="14" t="s">
        <v>283</v>
      </c>
      <c r="F109" s="14" t="s">
        <v>284</v>
      </c>
      <c r="G109" s="49" t="s">
        <v>605</v>
      </c>
      <c r="H109" s="50" t="s">
        <v>19</v>
      </c>
      <c r="I109" s="51" t="s">
        <v>65</v>
      </c>
      <c r="J109" s="6">
        <v>4212</v>
      </c>
      <c r="K109" s="6">
        <f>COUNTIF(review1_code,J109)</f>
        <v>3</v>
      </c>
      <c r="L109" s="4" t="str">
        <f>VLOOKUP(J109,review1,10,FALSE)</f>
        <v>TaiNT51</v>
      </c>
      <c r="M109" s="4" t="str">
        <f>VLOOKUP(J109,review1,11,FALSE)</f>
        <v>MinhTTH5</v>
      </c>
      <c r="N109" s="47" t="b">
        <f>OR(EXACT(L109,H109),EXACT(L109,I109),EXACT(M109,H109),EXACT(M109,I109))</f>
        <v>0</v>
      </c>
      <c r="O109" s="52">
        <f>VLOOKUP(J109,review1,7,FALSE)</f>
        <v>46049</v>
      </c>
      <c r="P109" s="52" t="str">
        <f>VLOOKUP(J109,review1,8,FALSE)</f>
        <v>Tue</v>
      </c>
      <c r="Q109" s="47">
        <f>INT(MOD(J109/10,10))</f>
        <v>1</v>
      </c>
      <c r="R109" s="47" t="str">
        <f>VLOOKUP(J109,review1,9,FALSE)</f>
        <v>NVH G.02</v>
      </c>
      <c r="S109" s="47">
        <f>J109+4000</f>
        <v>8212</v>
      </c>
      <c r="T109" s="6">
        <v>8212</v>
      </c>
      <c r="U109" s="6">
        <f>COUNTIF(review2_code,T109)</f>
        <v>3</v>
      </c>
      <c r="V109" s="4" t="str">
        <f>VLOOKUP(T109,review2,10,FALSE)</f>
        <v>TaiNT51</v>
      </c>
      <c r="W109" s="4" t="str">
        <f>VLOOKUP(T109,review2,11,FALSE)</f>
        <v>MinhTTH5</v>
      </c>
      <c r="X109" s="4" t="b">
        <f>OR(EXACT(V109,H109),EXACT(V109,I109),EXACT(W109,H109),EXACT(W109,I109))</f>
        <v>0</v>
      </c>
      <c r="Y109" s="53">
        <f>VLOOKUP(T109,review2,7,FALSE)</f>
        <v>46090</v>
      </c>
      <c r="Z109" s="53" t="str">
        <f>VLOOKUP(T109,review2,8,FALSE)</f>
        <v>Mon</v>
      </c>
      <c r="AA109" s="47">
        <f>INT(MOD(T109/10,10))</f>
        <v>1</v>
      </c>
      <c r="AB109" s="47" t="e">
        <f>VLOOKUP(J109,review2,9,FALSE)</f>
        <v>#N/A</v>
      </c>
      <c r="AC109" s="47"/>
      <c r="AD109" s="6">
        <v>14223</v>
      </c>
      <c r="AE109" s="6">
        <f>COUNTIF(review3_code,AD109)</f>
        <v>3</v>
      </c>
      <c r="AF109" s="54" t="str">
        <f>VLOOKUP(AD109,review3,10,FALSE)</f>
        <v>PhuongLHK</v>
      </c>
      <c r="AG109" s="54" t="str">
        <f>VLOOKUP(AD109,review3,11,FALSE)</f>
        <v>VuLNS</v>
      </c>
      <c r="AH109" s="47" t="b">
        <f>OR(EXACT(AF109,H109),EXACT(AF109,I109),EXACT(AG109,H109),EXACT(AG109,I109))</f>
        <v>0</v>
      </c>
      <c r="AI109" s="47" t="b">
        <f>OR(EXACT(AF109,V109),EXACT(AF109,W109),EXACT(AG109,V109),EXACT(AG109,W109))</f>
        <v>0</v>
      </c>
      <c r="AJ109" s="53">
        <f>VLOOKUP(AD109,review3,7,FALSE)</f>
        <v>46132</v>
      </c>
      <c r="AK109" s="53" t="str">
        <f>VLOOKUP(AD109,review3,8,FALSE)</f>
        <v>Mon</v>
      </c>
      <c r="AL109" s="47">
        <f>VLOOKUP(AD109,review3,4,FALSE)</f>
        <v>2</v>
      </c>
      <c r="AM109" s="47" t="str">
        <f>VLOOKUP(AD109,review3,9,FALSE)</f>
        <v>NVH.301</v>
      </c>
      <c r="AN109" s="55"/>
      <c r="AO109" t="s">
        <v>688</v>
      </c>
      <c r="AP109" s="56">
        <v>304</v>
      </c>
      <c r="AQ109" s="47" t="str">
        <f>VLOOKUP(AP109,defense1_list,7,FALSE)</f>
        <v>PhuongLHK_PhucNT40_SangNM18_VuLNS_NhanDT35</v>
      </c>
      <c r="AR109" s="57">
        <f>COUNTIF(defense1_forgroup_code,AP109)</f>
        <v>7</v>
      </c>
      <c r="AS109" s="4" t="b">
        <f>ISNUMBER(SEARCH(H109,AQ109))</f>
        <v>0</v>
      </c>
      <c r="AT109" s="4" t="b">
        <f>AND(NOT(ISBLANK(I109)),(ISNUMBER(SEARCH(I109,AQ109))))</f>
        <v>0</v>
      </c>
      <c r="AU109" s="4" t="b">
        <f>(IFERROR(SEARCH(AF109,AQ109),0)+IFERROR(SEARCH(AG109,AQ109),0))&gt;0</f>
        <v>1</v>
      </c>
      <c r="AV109" s="47"/>
      <c r="AW109" s="47"/>
      <c r="AX109" s="47"/>
      <c r="AY109" s="47"/>
      <c r="AZ109" s="128"/>
      <c r="BA109" s="47" t="e">
        <f>VLOOKUP(AZ109,defense2_list,7,FALSE)</f>
        <v>#N/A</v>
      </c>
      <c r="BB109" s="57">
        <f>COUNTIF(defense2_forgroup_code,AZ109)</f>
        <v>0</v>
      </c>
      <c r="BC109" s="4" t="b">
        <f>ISNUMBER(SEARCH(H109,BA109))</f>
        <v>0</v>
      </c>
      <c r="BD109" s="4" t="b">
        <f>AND(NOT(ISBLANK(I109)),(ISNUMBER(SEARCH(I109,AZ109))))</f>
        <v>0</v>
      </c>
      <c r="BE109" s="4"/>
      <c r="BF109" s="47"/>
      <c r="BG109" s="47"/>
    </row>
    <row r="110" spans="1:59" ht="15" thickBot="1" x14ac:dyDescent="0.4">
      <c r="A110" s="47">
        <v>8</v>
      </c>
      <c r="B110" s="48"/>
      <c r="C110" s="49" t="s">
        <v>301</v>
      </c>
      <c r="D110" s="58" t="s">
        <v>302</v>
      </c>
      <c r="E110" s="14" t="s">
        <v>303</v>
      </c>
      <c r="F110" s="14" t="s">
        <v>304</v>
      </c>
      <c r="G110" s="49" t="s">
        <v>82</v>
      </c>
      <c r="H110" s="50" t="s">
        <v>14</v>
      </c>
      <c r="I110" s="51"/>
      <c r="J110" s="6">
        <v>4244</v>
      </c>
      <c r="K110" s="6">
        <f>COUNTIF(review1_code,J110)</f>
        <v>3</v>
      </c>
      <c r="L110" s="4" t="str">
        <f>VLOOKUP(J110,review1,10,FALSE)</f>
        <v>TriPT9</v>
      </c>
      <c r="M110" s="4" t="str">
        <f>VLOOKUP(J110,review1,11,FALSE)</f>
        <v>LamNN15</v>
      </c>
      <c r="N110" s="47" t="b">
        <f>OR(EXACT(L110,H110),EXACT(L110,I110),EXACT(M110,H110),EXACT(M110,I110))</f>
        <v>0</v>
      </c>
      <c r="O110" s="52">
        <f>VLOOKUP(J110,review1,7,FALSE)</f>
        <v>46049</v>
      </c>
      <c r="P110" s="52" t="str">
        <f>VLOOKUP(J110,review1,8,FALSE)</f>
        <v>Tue</v>
      </c>
      <c r="Q110" s="47">
        <f>INT(MOD(J110/10,10))</f>
        <v>4</v>
      </c>
      <c r="R110" s="47" t="str">
        <f>VLOOKUP(J110,review1,9,FALSE)</f>
        <v>NVH G.01</v>
      </c>
      <c r="S110" s="47">
        <f>J110+4000</f>
        <v>8244</v>
      </c>
      <c r="T110" s="6">
        <v>8244</v>
      </c>
      <c r="U110" s="6">
        <f>COUNTIF(review2_code,T110)</f>
        <v>3</v>
      </c>
      <c r="V110" s="4" t="str">
        <f>VLOOKUP(T110,review2,10,FALSE)</f>
        <v>TriPT9</v>
      </c>
      <c r="W110" s="4" t="str">
        <f>VLOOKUP(T110,review2,11,FALSE)</f>
        <v>LamNN15</v>
      </c>
      <c r="X110" s="4" t="b">
        <f>OR(EXACT(V110,H110),EXACT(V110,I110),EXACT(W110,H110),EXACT(W110,I110))</f>
        <v>0</v>
      </c>
      <c r="Y110" s="53">
        <f>VLOOKUP(T110,review2,7,FALSE)</f>
        <v>46090</v>
      </c>
      <c r="Z110" s="53" t="str">
        <f>VLOOKUP(T110,review2,8,FALSE)</f>
        <v>Mon</v>
      </c>
      <c r="AA110" s="47">
        <f>INT(MOD(T110/10,10))</f>
        <v>4</v>
      </c>
      <c r="AB110" s="47" t="e">
        <f>VLOOKUP(J110,review2,9,FALSE)</f>
        <v>#N/A</v>
      </c>
      <c r="AC110" s="47"/>
      <c r="AD110" s="6">
        <v>14243</v>
      </c>
      <c r="AE110" s="6">
        <f>COUNTIF(review3_code,AD110)</f>
        <v>3</v>
      </c>
      <c r="AF110" s="54" t="str">
        <f>VLOOKUP(AD110,review3,10,FALSE)</f>
        <v>TamPM</v>
      </c>
      <c r="AG110" s="54" t="str">
        <f>VLOOKUP(AD110,review3,11,FALSE)</f>
        <v>NhanDT35</v>
      </c>
      <c r="AH110" s="47" t="b">
        <f>OR(EXACT(AF110,H110),EXACT(AF110,I110),EXACT(AG110,H110),EXACT(AG110,I110))</f>
        <v>0</v>
      </c>
      <c r="AI110" s="47" t="b">
        <f>OR(EXACT(AF110,V110),EXACT(AF110,W110),EXACT(AG110,V110),EXACT(AG110,W110))</f>
        <v>0</v>
      </c>
      <c r="AJ110" s="53">
        <f>VLOOKUP(AD110,review3,7,FALSE)</f>
        <v>46132</v>
      </c>
      <c r="AK110" s="53" t="str">
        <f>VLOOKUP(AD110,review3,8,FALSE)</f>
        <v>Mon</v>
      </c>
      <c r="AL110" s="47">
        <f>VLOOKUP(AD110,review3,4,FALSE)</f>
        <v>4</v>
      </c>
      <c r="AM110" s="47" t="str">
        <f>VLOOKUP(AD110,review3,9,FALSE)</f>
        <v>NVH.306</v>
      </c>
      <c r="AN110" s="55"/>
      <c r="AO110" t="s">
        <v>688</v>
      </c>
      <c r="AP110" s="56">
        <v>301</v>
      </c>
      <c r="AQ110" s="47" t="str">
        <f>VLOOKUP(AP110,defense1_list,7,FALSE)</f>
        <v>HuongNTC2_VanTTN2_TamPM_LinhNV (Long Chau)_LamNN15</v>
      </c>
      <c r="AR110" s="57">
        <f>COUNTIF(defense1_forgroup_code,AP110)</f>
        <v>7</v>
      </c>
      <c r="AS110" s="4" t="b">
        <f>ISNUMBER(SEARCH(H110,AQ110))</f>
        <v>0</v>
      </c>
      <c r="AT110" s="4" t="b">
        <f>AND(NOT(ISBLANK(I110)),(ISNUMBER(SEARCH(I110,AQ110))))</f>
        <v>0</v>
      </c>
      <c r="AU110" s="4" t="b">
        <f>(IFERROR(SEARCH(AF110,AQ110),0)+IFERROR(SEARCH(AG110,AQ110),0))&gt;0</f>
        <v>1</v>
      </c>
      <c r="AV110" s="47"/>
      <c r="AW110" s="47"/>
      <c r="AX110" s="47"/>
      <c r="AY110" s="47"/>
      <c r="AZ110" s="128"/>
      <c r="BA110" s="47" t="e">
        <f>VLOOKUP(AZ110,defense2_list,7,FALSE)</f>
        <v>#N/A</v>
      </c>
      <c r="BB110" s="57">
        <f>COUNTIF(defense2_forgroup_code,AZ110)</f>
        <v>0</v>
      </c>
      <c r="BC110" s="4" t="b">
        <f>ISNUMBER(SEARCH(H110,BA110))</f>
        <v>0</v>
      </c>
      <c r="BD110" s="4" t="b">
        <f>AND(NOT(ISBLANK(I110)),(ISNUMBER(SEARCH(I110,AZ110))))</f>
        <v>0</v>
      </c>
      <c r="BE110" s="4"/>
      <c r="BF110" s="47"/>
      <c r="BG110" s="47"/>
    </row>
    <row r="111" spans="1:59" ht="15" thickBot="1" x14ac:dyDescent="0.4">
      <c r="A111" s="47">
        <v>115</v>
      </c>
      <c r="B111" s="48"/>
      <c r="C111" s="49" t="s">
        <v>305</v>
      </c>
      <c r="D111" s="58" t="s">
        <v>306</v>
      </c>
      <c r="E111" s="14" t="s">
        <v>307</v>
      </c>
      <c r="F111" s="14" t="s">
        <v>308</v>
      </c>
      <c r="G111" s="49" t="s">
        <v>84</v>
      </c>
      <c r="H111" s="50" t="s">
        <v>85</v>
      </c>
      <c r="I111" s="51"/>
      <c r="J111" s="6">
        <v>3431</v>
      </c>
      <c r="K111" s="6">
        <f>COUNTIF(review1_code,J111)</f>
        <v>3</v>
      </c>
      <c r="L111" s="74" t="str">
        <f>VLOOKUP(J111,review1,10,FALSE)</f>
        <v>DucDNM2</v>
      </c>
      <c r="M111" s="74" t="str">
        <f>VLOOKUP(J111,review1,11,FALSE)</f>
        <v>VanTTN2</v>
      </c>
      <c r="N111" s="47" t="b">
        <f>OR(EXACT(L111,H111),EXACT(L111,I111),EXACT(M111,H111),EXACT(M111,I111))</f>
        <v>0</v>
      </c>
      <c r="O111" s="52">
        <f>VLOOKUP(J111,review1,7,FALSE)</f>
        <v>46044</v>
      </c>
      <c r="P111" s="52" t="str">
        <f>VLOOKUP(J111,review1,8,FALSE)</f>
        <v>Thu</v>
      </c>
      <c r="Q111" s="47">
        <f>INT(MOD(J111/10,10))</f>
        <v>3</v>
      </c>
      <c r="R111" s="47" t="str">
        <f>VLOOKUP(J111,review1,9,FALSE)</f>
        <v>LB21 (Thư viên Campus)</v>
      </c>
      <c r="S111" s="47">
        <f>J111+4000</f>
        <v>7431</v>
      </c>
      <c r="T111" s="6">
        <v>7431</v>
      </c>
      <c r="U111" s="6">
        <f>COUNTIF(review2_code,T111)</f>
        <v>3</v>
      </c>
      <c r="V111" s="4" t="str">
        <f>VLOOKUP(T111,review2,10,FALSE)</f>
        <v>DucDNM2</v>
      </c>
      <c r="W111" s="4" t="str">
        <f>VLOOKUP(T111,review2,11,FALSE)</f>
        <v>VanTTN2</v>
      </c>
      <c r="X111" s="4" t="b">
        <f>OR(EXACT(V111,H111),EXACT(V111,I111),EXACT(W111,H111),EXACT(W111,I111))</f>
        <v>0</v>
      </c>
      <c r="Y111" s="53">
        <f>VLOOKUP(T111,review2,7,FALSE)</f>
        <v>46085</v>
      </c>
      <c r="Z111" s="53" t="str">
        <f>VLOOKUP(T111,review2,8,FALSE)</f>
        <v>Wed</v>
      </c>
      <c r="AA111" s="47">
        <f>INT(MOD(T111/10,10))</f>
        <v>3</v>
      </c>
      <c r="AB111" s="47" t="e">
        <f>VLOOKUP(J111,review2,9,FALSE)</f>
        <v>#N/A</v>
      </c>
      <c r="AC111" s="47"/>
      <c r="AD111" s="6">
        <v>14522</v>
      </c>
      <c r="AE111" s="6">
        <f>COUNTIF(review3_code,AD111)</f>
        <v>3</v>
      </c>
      <c r="AF111" s="54" t="str">
        <f>VLOOKUP(AD111,review3,10,FALSE)</f>
        <v>TaiNT51</v>
      </c>
      <c r="AG111" s="54" t="str">
        <f>VLOOKUP(AD111,review3,11,FALSE)</f>
        <v>PhuongLHK</v>
      </c>
      <c r="AH111" s="47" t="b">
        <f>OR(EXACT(AF111,H111),EXACT(AF111,I111),EXACT(AG111,H111),EXACT(AG111,I111))</f>
        <v>0</v>
      </c>
      <c r="AI111" s="47" t="b">
        <f>OR(EXACT(AF111,V111),EXACT(AF111,W111),EXACT(AG111,V111),EXACT(AG111,W111))</f>
        <v>0</v>
      </c>
      <c r="AJ111" s="53">
        <f>VLOOKUP(AD111,review3,7,FALSE)</f>
        <v>46135</v>
      </c>
      <c r="AK111" s="53" t="str">
        <f>VLOOKUP(AD111,review3,8,FALSE)</f>
        <v>Thu</v>
      </c>
      <c r="AL111" s="47">
        <f>VLOOKUP(AD111,review3,4,FALSE)</f>
        <v>2</v>
      </c>
      <c r="AM111" s="47" t="str">
        <f>VLOOKUP(AD111,review3,9,FALSE)</f>
        <v>NVH.415</v>
      </c>
      <c r="AN111" s="55"/>
      <c r="AO111" t="s">
        <v>688</v>
      </c>
      <c r="AP111" s="56">
        <v>204</v>
      </c>
      <c r="AQ111" s="47" t="str">
        <f>VLOOKUP(AP111,defense1_list,7,FALSE)</f>
        <v>PhuongLHK_PhucNT40_VuLNS_MinhTTH5_ThinhDP2</v>
      </c>
      <c r="AR111" s="57">
        <f>COUNTIF(defense1_forgroup_code,AP111)</f>
        <v>8</v>
      </c>
      <c r="AS111" s="4" t="b">
        <f>ISNUMBER(SEARCH(H111,AQ111))</f>
        <v>0</v>
      </c>
      <c r="AT111" s="4" t="b">
        <f>AND(NOT(ISBLANK(I111)),(ISNUMBER(SEARCH(I111,AQ111))))</f>
        <v>0</v>
      </c>
      <c r="AU111" s="4" t="b">
        <f>(IFERROR(SEARCH(AF111,AQ111),0)+IFERROR(SEARCH(AG111,AQ111),0))&gt;0</f>
        <v>1</v>
      </c>
      <c r="AV111" s="47"/>
      <c r="AW111" s="47"/>
      <c r="AX111" s="47"/>
      <c r="AY111" s="47"/>
      <c r="AZ111" s="128"/>
      <c r="BA111" s="47" t="e">
        <f>VLOOKUP(AZ111,defense2_list,7,FALSE)</f>
        <v>#N/A</v>
      </c>
      <c r="BB111" s="57">
        <f>COUNTIF(defense2_forgroup_code,AZ111)</f>
        <v>0</v>
      </c>
      <c r="BC111" s="4" t="b">
        <f>ISNUMBER(SEARCH(H111,BA111))</f>
        <v>0</v>
      </c>
      <c r="BD111" s="4" t="b">
        <f>AND(NOT(ISBLANK(I111)),(ISNUMBER(SEARCH(I111,AZ111))))</f>
        <v>0</v>
      </c>
      <c r="BE111" s="4"/>
      <c r="BF111" s="47"/>
      <c r="BG111" s="47"/>
    </row>
    <row r="112" spans="1:59" ht="15" thickBot="1" x14ac:dyDescent="0.4">
      <c r="A112" s="47">
        <v>96</v>
      </c>
      <c r="B112" s="48"/>
      <c r="C112" s="75" t="s">
        <v>309</v>
      </c>
      <c r="D112" s="77" t="s">
        <v>659</v>
      </c>
      <c r="E112" s="77" t="s">
        <v>311</v>
      </c>
      <c r="F112" s="77" t="s">
        <v>312</v>
      </c>
      <c r="G112" s="75" t="s">
        <v>82</v>
      </c>
      <c r="H112" s="50" t="s">
        <v>14</v>
      </c>
      <c r="I112" s="51"/>
      <c r="J112" s="6">
        <v>4542</v>
      </c>
      <c r="K112" s="6">
        <f>COUNTIF(review1_code,J112)</f>
        <v>3</v>
      </c>
      <c r="L112" s="4" t="str">
        <f>VLOOKUP(J112,review1,10,FALSE)</f>
        <v>LamNN15</v>
      </c>
      <c r="M112" s="4" t="str">
        <f>VLOOKUP(J112,review1,11,FALSE)</f>
        <v>TriPT9</v>
      </c>
      <c r="N112" s="47" t="b">
        <f>OR(EXACT(L112,H112),EXACT(L112,I112),EXACT(M112,H112),EXACT(M112,I112))</f>
        <v>0</v>
      </c>
      <c r="O112" s="52">
        <f>VLOOKUP(J112,review1,7,FALSE)</f>
        <v>46052</v>
      </c>
      <c r="P112" s="52" t="str">
        <f>VLOOKUP(J112,review1,8,FALSE)</f>
        <v>Fri</v>
      </c>
      <c r="Q112" s="47">
        <f>INT(MOD(J112/10,10))</f>
        <v>4</v>
      </c>
      <c r="R112" s="47" t="str">
        <f>VLOOKUP(J112,review1,9,FALSE)</f>
        <v>NVH G.01</v>
      </c>
      <c r="S112" s="47">
        <f>J112+4000</f>
        <v>8542</v>
      </c>
      <c r="T112" s="6">
        <v>8542</v>
      </c>
      <c r="U112" s="6">
        <f>COUNTIF(review2_code,T112)</f>
        <v>3</v>
      </c>
      <c r="V112" s="4" t="str">
        <f>VLOOKUP(T112,review2,10,FALSE)</f>
        <v>LamNN15</v>
      </c>
      <c r="W112" s="4" t="str">
        <f>VLOOKUP(T112,review2,11,FALSE)</f>
        <v>TriPT9</v>
      </c>
      <c r="X112" s="4" t="b">
        <f>OR(EXACT(V112,H112),EXACT(V112,I112),EXACT(W112,H112),EXACT(W112,I112))</f>
        <v>0</v>
      </c>
      <c r="Y112" s="53">
        <f>VLOOKUP(T112,review2,7,FALSE)</f>
        <v>46093</v>
      </c>
      <c r="Z112" s="53" t="str">
        <f>VLOOKUP(T112,review2,8,FALSE)</f>
        <v>Thu</v>
      </c>
      <c r="AA112" s="47">
        <f>INT(MOD(T112/10,10))</f>
        <v>4</v>
      </c>
      <c r="AB112" s="47" t="e">
        <f>VLOOKUP(J112,review2,9,FALSE)</f>
        <v>#N/A</v>
      </c>
      <c r="AC112" s="47"/>
      <c r="AD112" s="6">
        <v>14313</v>
      </c>
      <c r="AE112" s="6">
        <f>COUNTIF(review3_code,AD112)</f>
        <v>3</v>
      </c>
      <c r="AF112" s="54" t="str">
        <f>VLOOKUP(AD112,review3,10,FALSE)</f>
        <v>DucDNM2</v>
      </c>
      <c r="AG112" s="54" t="str">
        <f>VLOOKUP(AD112,review3,11,FALSE)</f>
        <v>VuLNS</v>
      </c>
      <c r="AH112" s="47" t="b">
        <f>OR(EXACT(AF112,H112),EXACT(AF112,I112),EXACT(AG112,H112),EXACT(AG112,I112))</f>
        <v>0</v>
      </c>
      <c r="AI112" s="47" t="b">
        <f>OR(EXACT(AF112,V112),EXACT(AF112,W112),EXACT(AG112,V112),EXACT(AG112,W112))</f>
        <v>0</v>
      </c>
      <c r="AJ112" s="53">
        <f>VLOOKUP(AD112,review3,7,FALSE)</f>
        <v>46133</v>
      </c>
      <c r="AK112" s="53" t="str">
        <f>VLOOKUP(AD112,review3,8,FALSE)</f>
        <v>Tue</v>
      </c>
      <c r="AL112" s="47">
        <f>VLOOKUP(AD112,review3,4,FALSE)</f>
        <v>1</v>
      </c>
      <c r="AM112" s="47" t="str">
        <f>VLOOKUP(AD112,review3,9,FALSE)</f>
        <v>NVH.301</v>
      </c>
      <c r="AN112" s="55"/>
      <c r="AO112" t="s">
        <v>688</v>
      </c>
      <c r="AP112" s="98">
        <v>403</v>
      </c>
      <c r="AQ112" s="47" t="str">
        <f>VLOOKUP(AP112,defense1_list,7,FALSE)</f>
        <v>SuTV_NgocTTM4_HoangNT20_LongT5_DucDNM2</v>
      </c>
      <c r="AR112" s="57">
        <f>COUNTIF(defense1_forgroup_code,AP112)</f>
        <v>7</v>
      </c>
      <c r="AS112" s="4" t="b">
        <f>ISNUMBER(SEARCH(H112,AQ112))</f>
        <v>0</v>
      </c>
      <c r="AT112" s="4" t="b">
        <f>AND(NOT(ISBLANK(I112)),(ISNUMBER(SEARCH(I112,AQ112))))</f>
        <v>0</v>
      </c>
      <c r="AU112" s="4" t="b">
        <f>(IFERROR(SEARCH(AF112,AQ112),0)+IFERROR(SEARCH(AG112,AQ112),0))&gt;0</f>
        <v>1</v>
      </c>
      <c r="AV112" s="47"/>
      <c r="AW112" s="47"/>
      <c r="AX112" s="47"/>
      <c r="AY112" s="47"/>
      <c r="AZ112" s="128"/>
      <c r="BA112" s="47" t="e">
        <f>VLOOKUP(AZ112,defense2_list,7,FALSE)</f>
        <v>#N/A</v>
      </c>
      <c r="BB112" s="57">
        <f>COUNTIF(defense2_forgroup_code,AZ112)</f>
        <v>0</v>
      </c>
      <c r="BC112" s="4" t="b">
        <f>ISNUMBER(SEARCH(H112,BA112))</f>
        <v>0</v>
      </c>
      <c r="BD112" s="4" t="b">
        <f>AND(NOT(ISBLANK(I112)),(ISNUMBER(SEARCH(I112,AZ112))))</f>
        <v>0</v>
      </c>
      <c r="BE112" s="4"/>
      <c r="BF112" s="47"/>
      <c r="BG112" s="47"/>
    </row>
    <row r="113" spans="1:59" ht="15" thickBot="1" x14ac:dyDescent="0.4">
      <c r="A113" s="47">
        <v>105</v>
      </c>
      <c r="B113" s="48"/>
      <c r="C113" s="49" t="s">
        <v>313</v>
      </c>
      <c r="D113" s="58" t="s">
        <v>314</v>
      </c>
      <c r="E113" s="14" t="s">
        <v>315</v>
      </c>
      <c r="F113" s="14" t="s">
        <v>316</v>
      </c>
      <c r="G113" s="49" t="s">
        <v>82</v>
      </c>
      <c r="H113" s="50" t="s">
        <v>14</v>
      </c>
      <c r="I113" s="51"/>
      <c r="J113" s="6">
        <v>4243</v>
      </c>
      <c r="K113" s="6">
        <f>COUNTIF(review1_code,J113)</f>
        <v>3</v>
      </c>
      <c r="L113" s="4" t="str">
        <f>VLOOKUP(J113,review1,10,FALSE)</f>
        <v>TaiNT51</v>
      </c>
      <c r="M113" s="4" t="str">
        <f>VLOOKUP(J113,review1,11,FALSE)</f>
        <v>LongT5</v>
      </c>
      <c r="N113" s="47" t="b">
        <f>OR(EXACT(L113,H113),EXACT(L113,I113),EXACT(M113,H113),EXACT(M113,I113))</f>
        <v>0</v>
      </c>
      <c r="O113" s="52">
        <f>VLOOKUP(J113,review1,7,FALSE)</f>
        <v>46049</v>
      </c>
      <c r="P113" s="52" t="str">
        <f>VLOOKUP(J113,review1,8,FALSE)</f>
        <v>Tue</v>
      </c>
      <c r="Q113" s="47">
        <f>INT(MOD(J113/10,10))</f>
        <v>4</v>
      </c>
      <c r="R113" s="47" t="str">
        <f>VLOOKUP(J113,review1,9,FALSE)</f>
        <v>NVH G.02</v>
      </c>
      <c r="S113" s="47">
        <f>J113+4000</f>
        <v>8243</v>
      </c>
      <c r="T113" s="6">
        <v>8243</v>
      </c>
      <c r="U113" s="6">
        <f>COUNTIF(review2_code,T113)</f>
        <v>3</v>
      </c>
      <c r="V113" s="4" t="str">
        <f>VLOOKUP(T113,review2,10,FALSE)</f>
        <v>TaiNT51</v>
      </c>
      <c r="W113" s="4" t="str">
        <f>VLOOKUP(T113,review2,11,FALSE)</f>
        <v>LongT5</v>
      </c>
      <c r="X113" s="4" t="b">
        <f>OR(EXACT(V113,H113),EXACT(V113,I113),EXACT(W113,H113),EXACT(W113,I113))</f>
        <v>0</v>
      </c>
      <c r="Y113" s="53">
        <f>VLOOKUP(T113,review2,7,FALSE)</f>
        <v>46090</v>
      </c>
      <c r="Z113" s="53" t="str">
        <f>VLOOKUP(T113,review2,8,FALSE)</f>
        <v>Mon</v>
      </c>
      <c r="AA113" s="47">
        <f>INT(MOD(T113/10,10))</f>
        <v>4</v>
      </c>
      <c r="AB113" s="47" t="e">
        <f>VLOOKUP(J113,review2,9,FALSE)</f>
        <v>#N/A</v>
      </c>
      <c r="AC113" s="47"/>
      <c r="AD113" s="6">
        <v>14511</v>
      </c>
      <c r="AE113" s="6">
        <f>COUNTIF(review3_code,AD113)</f>
        <v>3</v>
      </c>
      <c r="AF113" s="54" t="str">
        <f>VLOOKUP(AD113,review3,10,FALSE)</f>
        <v>HuongNTC2</v>
      </c>
      <c r="AG113" s="54" t="str">
        <f>VLOOKUP(AD113,review3,11,FALSE)</f>
        <v>DucDNM2</v>
      </c>
      <c r="AH113" s="47" t="b">
        <f>OR(EXACT(AF113,H113),EXACT(AF113,I113),EXACT(AG113,H113),EXACT(AG113,I113))</f>
        <v>0</v>
      </c>
      <c r="AI113" s="47" t="b">
        <f>OR(EXACT(AF113,V113),EXACT(AF113,W113),EXACT(AG113,V113),EXACT(AG113,W113))</f>
        <v>0</v>
      </c>
      <c r="AJ113" s="53">
        <f>VLOOKUP(AD113,review3,7,FALSE)</f>
        <v>46135</v>
      </c>
      <c r="AK113" s="53" t="str">
        <f>VLOOKUP(AD113,review3,8,FALSE)</f>
        <v>Thu</v>
      </c>
      <c r="AL113" s="47">
        <f>VLOOKUP(AD113,review3,4,FALSE)</f>
        <v>1</v>
      </c>
      <c r="AM113" s="47" t="str">
        <f>VLOOKUP(AD113,review3,9,FALSE)</f>
        <v>NVH.414</v>
      </c>
      <c r="AN113" s="55"/>
      <c r="AO113" t="s">
        <v>688</v>
      </c>
      <c r="AP113" s="56">
        <v>403</v>
      </c>
      <c r="AQ113" s="47" t="str">
        <f>VLOOKUP(AP113,defense1_list,7,FALSE)</f>
        <v>SuTV_NgocTTM4_HoangNT20_LongT5_DucDNM2</v>
      </c>
      <c r="AR113" s="57">
        <f>COUNTIF(defense1_forgroup_code,AP113)</f>
        <v>7</v>
      </c>
      <c r="AS113" s="4" t="b">
        <f>ISNUMBER(SEARCH(H113,AQ113))</f>
        <v>0</v>
      </c>
      <c r="AT113" s="4" t="b">
        <f>AND(NOT(ISBLANK(I113)),(ISNUMBER(SEARCH(I113,AQ113))))</f>
        <v>0</v>
      </c>
      <c r="AU113" s="4" t="b">
        <f>(IFERROR(SEARCH(AF113,AQ113),0)+IFERROR(SEARCH(AG113,AQ113),0))&gt;0</f>
        <v>1</v>
      </c>
      <c r="AV113" s="47"/>
      <c r="AW113" s="47"/>
      <c r="AX113" s="47"/>
      <c r="AY113" s="47"/>
      <c r="AZ113" s="128"/>
      <c r="BA113" s="47" t="e">
        <f>VLOOKUP(AZ113,defense2_list,7,FALSE)</f>
        <v>#N/A</v>
      </c>
      <c r="BB113" s="57">
        <f>COUNTIF(defense2_forgroup_code,AZ113)</f>
        <v>0</v>
      </c>
      <c r="BC113" s="4" t="b">
        <f>ISNUMBER(SEARCH(H113,BA113))</f>
        <v>0</v>
      </c>
      <c r="BD113" s="4" t="b">
        <f>AND(NOT(ISBLANK(I113)),(ISNUMBER(SEARCH(I113,AZ113))))</f>
        <v>0</v>
      </c>
      <c r="BE113" s="4"/>
      <c r="BF113" s="47"/>
      <c r="BG113" s="47"/>
    </row>
    <row r="114" spans="1:59" ht="15" thickBot="1" x14ac:dyDescent="0.4">
      <c r="A114" s="47">
        <v>102</v>
      </c>
      <c r="B114" s="48"/>
      <c r="C114" s="49" t="s">
        <v>325</v>
      </c>
      <c r="D114" s="58" t="s">
        <v>326</v>
      </c>
      <c r="E114" s="14" t="s">
        <v>327</v>
      </c>
      <c r="F114" s="14" t="s">
        <v>328</v>
      </c>
      <c r="G114" s="49" t="s">
        <v>64</v>
      </c>
      <c r="H114" s="50" t="s">
        <v>24</v>
      </c>
      <c r="I114" s="51"/>
      <c r="J114" s="6">
        <v>4342</v>
      </c>
      <c r="K114" s="6">
        <f>COUNTIF(review1_code,J114)</f>
        <v>3</v>
      </c>
      <c r="L114" s="4" t="str">
        <f>VLOOKUP(J114,review1,10,FALSE)</f>
        <v>TamPM</v>
      </c>
      <c r="M114" s="4" t="str">
        <f>VLOOKUP(J114,review1,11,FALSE)</f>
        <v>TriPT9</v>
      </c>
      <c r="N114" s="47" t="b">
        <f>OR(EXACT(L114,H114),EXACT(L114,I114),EXACT(M114,H114),EXACT(M114,I114))</f>
        <v>0</v>
      </c>
      <c r="O114" s="52">
        <f>VLOOKUP(J114,review1,7,FALSE)</f>
        <v>46050</v>
      </c>
      <c r="P114" s="52" t="str">
        <f>VLOOKUP(J114,review1,8,FALSE)</f>
        <v>Wed</v>
      </c>
      <c r="Q114" s="47">
        <f>INT(MOD(J114/10,10))</f>
        <v>4</v>
      </c>
      <c r="R114" s="47" t="str">
        <f>VLOOKUP(J114,review1,9,FALSE)</f>
        <v>NVH G.02</v>
      </c>
      <c r="S114" s="47">
        <f>J114+4000</f>
        <v>8342</v>
      </c>
      <c r="T114" s="6">
        <v>8342</v>
      </c>
      <c r="U114" s="6">
        <f>COUNTIF(review2_code,T114)</f>
        <v>3</v>
      </c>
      <c r="V114" s="4" t="str">
        <f>VLOOKUP(T114,review2,10,FALSE)</f>
        <v>TamPM</v>
      </c>
      <c r="W114" s="4" t="str">
        <f>VLOOKUP(T114,review2,11,FALSE)</f>
        <v>TriPT9</v>
      </c>
      <c r="X114" s="4" t="b">
        <f>OR(EXACT(V114,H114),EXACT(V114,I114),EXACT(W114,H114),EXACT(W114,I114))</f>
        <v>0</v>
      </c>
      <c r="Y114" s="53">
        <f>VLOOKUP(T114,review2,7,FALSE)</f>
        <v>46091</v>
      </c>
      <c r="Z114" s="53" t="str">
        <f>VLOOKUP(T114,review2,8,FALSE)</f>
        <v>Tue</v>
      </c>
      <c r="AA114" s="47">
        <f>INT(MOD(T114/10,10))</f>
        <v>4</v>
      </c>
      <c r="AB114" s="47" t="e">
        <f>VLOOKUP(J114,review2,9,FALSE)</f>
        <v>#N/A</v>
      </c>
      <c r="AC114" s="47"/>
      <c r="AD114" s="6">
        <v>14551</v>
      </c>
      <c r="AE114" s="6">
        <f>COUNTIF(review3_code,AD114)</f>
        <v>3</v>
      </c>
      <c r="AF114" s="54" t="str">
        <f>VLOOKUP(AD114,review3,10,FALSE)</f>
        <v>PhuongLHK</v>
      </c>
      <c r="AG114" s="54" t="str">
        <f>VLOOKUP(AD114,review3,11,FALSE)</f>
        <v>NhanDT35</v>
      </c>
      <c r="AH114" s="47" t="b">
        <f>OR(EXACT(AF114,H114),EXACT(AF114,I114),EXACT(AG114,H114),EXACT(AG114,I114))</f>
        <v>0</v>
      </c>
      <c r="AI114" s="47" t="b">
        <f>OR(EXACT(AF114,V114),EXACT(AF114,W114),EXACT(AG114,V114),EXACT(AG114,W114))</f>
        <v>0</v>
      </c>
      <c r="AJ114" s="53">
        <f>VLOOKUP(AD114,review3,7,FALSE)</f>
        <v>46135</v>
      </c>
      <c r="AK114" s="53" t="str">
        <f>VLOOKUP(AD114,review3,8,FALSE)</f>
        <v>Thu</v>
      </c>
      <c r="AL114" s="47">
        <f>VLOOKUP(AD114,review3,4,FALSE)</f>
        <v>5</v>
      </c>
      <c r="AM114" s="47" t="str">
        <f>VLOOKUP(AD114,review3,9,FALSE)</f>
        <v>NVH.301</v>
      </c>
      <c r="AN114" s="55"/>
      <c r="AO114" t="s">
        <v>688</v>
      </c>
      <c r="AP114" s="98">
        <v>203</v>
      </c>
      <c r="AQ114" s="47" t="str">
        <f>VLOOKUP(AP114,defense1_list,7,FALSE)</f>
        <v>DucDNM2_HungLD5_NhanDT35_TriPT9_LamNN15</v>
      </c>
      <c r="AR114" s="57">
        <f>COUNTIF(defense1_forgroup_code,AP114)</f>
        <v>7</v>
      </c>
      <c r="AS114" s="4" t="b">
        <f>ISNUMBER(SEARCH(H114,AQ114))</f>
        <v>0</v>
      </c>
      <c r="AT114" s="4" t="b">
        <f>AND(NOT(ISBLANK(I114)),(ISNUMBER(SEARCH(I114,AQ114))))</f>
        <v>0</v>
      </c>
      <c r="AU114" s="4" t="b">
        <f>(IFERROR(SEARCH(AF114,AQ114),0)+IFERROR(SEARCH(AG114,AQ114),0))&gt;0</f>
        <v>1</v>
      </c>
      <c r="AV114" s="47"/>
      <c r="AW114" s="47"/>
      <c r="AX114" s="47"/>
      <c r="AY114" s="47"/>
      <c r="AZ114" s="128"/>
      <c r="BA114" s="47" t="e">
        <f>VLOOKUP(AZ114,defense2_list,7,FALSE)</f>
        <v>#N/A</v>
      </c>
      <c r="BB114" s="57">
        <f>COUNTIF(defense2_forgroup_code,AZ114)</f>
        <v>0</v>
      </c>
      <c r="BC114" s="4" t="b">
        <f>ISNUMBER(SEARCH(H114,BA114))</f>
        <v>0</v>
      </c>
      <c r="BD114" s="4" t="b">
        <f>AND(NOT(ISBLANK(I114)),(ISNUMBER(SEARCH(I114,AZ114))))</f>
        <v>0</v>
      </c>
      <c r="BE114" s="4"/>
      <c r="BF114" s="47"/>
      <c r="BG114" s="47"/>
    </row>
    <row r="115" spans="1:59" ht="15" thickBot="1" x14ac:dyDescent="0.4">
      <c r="A115" s="47">
        <v>78</v>
      </c>
      <c r="B115" s="48"/>
      <c r="C115" s="49" t="s">
        <v>329</v>
      </c>
      <c r="D115" s="58" t="s">
        <v>330</v>
      </c>
      <c r="E115" s="14" t="s">
        <v>331</v>
      </c>
      <c r="F115" s="14" t="s">
        <v>332</v>
      </c>
      <c r="G115" s="49" t="s">
        <v>82</v>
      </c>
      <c r="H115" s="50" t="s">
        <v>14</v>
      </c>
      <c r="I115" s="51"/>
      <c r="J115" s="6">
        <v>4542</v>
      </c>
      <c r="K115" s="6">
        <f>COUNTIF(review1_code,J115)</f>
        <v>3</v>
      </c>
      <c r="L115" s="4" t="str">
        <f>VLOOKUP(J115,review1,10,FALSE)</f>
        <v>LamNN15</v>
      </c>
      <c r="M115" s="4" t="str">
        <f>VLOOKUP(J115,review1,11,FALSE)</f>
        <v>TriPT9</v>
      </c>
      <c r="N115" s="47" t="b">
        <f>OR(EXACT(L115,H115),EXACT(L115,I115),EXACT(M115,H115),EXACT(M115,I115))</f>
        <v>0</v>
      </c>
      <c r="O115" s="52">
        <f>VLOOKUP(J115,review1,7,FALSE)</f>
        <v>46052</v>
      </c>
      <c r="P115" s="52" t="str">
        <f>VLOOKUP(J115,review1,8,FALSE)</f>
        <v>Fri</v>
      </c>
      <c r="Q115" s="47">
        <f>INT(MOD(J115/10,10))</f>
        <v>4</v>
      </c>
      <c r="R115" s="47" t="str">
        <f>VLOOKUP(J115,review1,9,FALSE)</f>
        <v>NVH G.01</v>
      </c>
      <c r="S115" s="47">
        <f>J115+4000</f>
        <v>8542</v>
      </c>
      <c r="T115" s="6">
        <v>8542</v>
      </c>
      <c r="U115" s="6">
        <f>COUNTIF(review2_code,T115)</f>
        <v>3</v>
      </c>
      <c r="V115" s="4" t="str">
        <f>VLOOKUP(T115,review2,10,FALSE)</f>
        <v>LamNN15</v>
      </c>
      <c r="W115" s="4" t="str">
        <f>VLOOKUP(T115,review2,11,FALSE)</f>
        <v>TriPT9</v>
      </c>
      <c r="X115" s="4" t="b">
        <f>OR(EXACT(V115,H115),EXACT(V115,I115),EXACT(W115,H115),EXACT(W115,I115))</f>
        <v>0</v>
      </c>
      <c r="Y115" s="53">
        <f>VLOOKUP(T115,review2,7,FALSE)</f>
        <v>46093</v>
      </c>
      <c r="Z115" s="53" t="str">
        <f>VLOOKUP(T115,review2,8,FALSE)</f>
        <v>Thu</v>
      </c>
      <c r="AA115" s="47">
        <f>INT(MOD(T115/10,10))</f>
        <v>4</v>
      </c>
      <c r="AB115" s="47" t="e">
        <f>VLOOKUP(J115,review2,9,FALSE)</f>
        <v>#N/A</v>
      </c>
      <c r="AC115" s="47"/>
      <c r="AD115" s="6">
        <v>14411</v>
      </c>
      <c r="AE115" s="6">
        <f>COUNTIF(review3_code,AD115)</f>
        <v>3</v>
      </c>
      <c r="AF115" s="54" t="str">
        <f>VLOOKUP(AD115,review3,10,FALSE)</f>
        <v>TaiNT51</v>
      </c>
      <c r="AG115" s="54" t="str">
        <f>VLOOKUP(AD115,review3,11,FALSE)</f>
        <v>VanTTN2</v>
      </c>
      <c r="AH115" s="47" t="b">
        <f>OR(EXACT(AF115,H115),EXACT(AF115,I115),EXACT(AG115,H115),EXACT(AG115,I115))</f>
        <v>0</v>
      </c>
      <c r="AI115" s="47" t="b">
        <f>OR(EXACT(AF115,V115),EXACT(AF115,W115),EXACT(AG115,V115),EXACT(AG115,W115))</f>
        <v>0</v>
      </c>
      <c r="AJ115" s="53">
        <f>VLOOKUP(AD115,review3,7,FALSE)</f>
        <v>46134</v>
      </c>
      <c r="AK115" s="53" t="str">
        <f>VLOOKUP(AD115,review3,8,FALSE)</f>
        <v>Wed</v>
      </c>
      <c r="AL115" s="47">
        <f>VLOOKUP(AD115,review3,4,FALSE)</f>
        <v>1</v>
      </c>
      <c r="AM115" s="47" t="str">
        <f>VLOOKUP(AD115,review3,9,FALSE)</f>
        <v>NVH.415</v>
      </c>
      <c r="AN115" s="55"/>
      <c r="AO115" t="s">
        <v>688</v>
      </c>
      <c r="AP115" s="56">
        <v>401</v>
      </c>
      <c r="AQ115" s="47" t="str">
        <f>VLOOKUP(AP115,defense1_list,7,FALSE)</f>
        <v>HuongNTC2_NguyenTT15_SangNM18_VanTTN2_ThinhDP2</v>
      </c>
      <c r="AR115" s="57">
        <f>COUNTIF(defense1_forgroup_code,AP115)</f>
        <v>7</v>
      </c>
      <c r="AS115" s="4" t="b">
        <f>ISNUMBER(SEARCH(H115,AQ115))</f>
        <v>0</v>
      </c>
      <c r="AT115" s="4" t="b">
        <f>AND(NOT(ISBLANK(I115)),(ISNUMBER(SEARCH(I115,AQ115))))</f>
        <v>0</v>
      </c>
      <c r="AU115" s="4" t="b">
        <f>(IFERROR(SEARCH(AF115,AQ115),0)+IFERROR(SEARCH(AG115,AQ115),0))&gt;0</f>
        <v>1</v>
      </c>
      <c r="AV115" s="47"/>
      <c r="AW115" s="47"/>
      <c r="AX115" s="47"/>
      <c r="AY115" s="47"/>
      <c r="AZ115" s="128"/>
      <c r="BA115" s="47" t="e">
        <f>VLOOKUP(AZ115,defense2_list,7,FALSE)</f>
        <v>#N/A</v>
      </c>
      <c r="BB115" s="57">
        <f>COUNTIF(defense2_forgroup_code,AZ115)</f>
        <v>0</v>
      </c>
      <c r="BC115" s="4" t="b">
        <f>ISNUMBER(SEARCH(H115,BA115))</f>
        <v>0</v>
      </c>
      <c r="BD115" s="4" t="b">
        <f>AND(NOT(ISBLANK(I115)),(ISNUMBER(SEARCH(I115,AZ115))))</f>
        <v>0</v>
      </c>
      <c r="BE115" s="4"/>
      <c r="BF115" s="47"/>
      <c r="BG115" s="47"/>
    </row>
    <row r="116" spans="1:59" ht="15" thickBot="1" x14ac:dyDescent="0.4">
      <c r="A116" s="47">
        <v>81</v>
      </c>
      <c r="B116" s="48"/>
      <c r="C116" s="49" t="s">
        <v>333</v>
      </c>
      <c r="D116" s="58" t="s">
        <v>334</v>
      </c>
      <c r="E116" s="14" t="s">
        <v>335</v>
      </c>
      <c r="F116" s="14" t="s">
        <v>336</v>
      </c>
      <c r="G116" s="49" t="s">
        <v>82</v>
      </c>
      <c r="H116" s="50" t="s">
        <v>14</v>
      </c>
      <c r="I116" s="51"/>
      <c r="J116" s="6">
        <v>3421</v>
      </c>
      <c r="K116" s="6">
        <f>COUNTIF(review1_code,J116)</f>
        <v>3</v>
      </c>
      <c r="L116" s="4" t="str">
        <f>VLOOKUP(J116,review1,10,FALSE)</f>
        <v>TaiNT51</v>
      </c>
      <c r="M116" s="4" t="str">
        <f>VLOOKUP(J116,review1,11,FALSE)</f>
        <v>NhanDT35</v>
      </c>
      <c r="N116" s="47" t="b">
        <f>OR(EXACT(L116,H116),EXACT(L116,I116),EXACT(M116,H116),EXACT(M116,I116))</f>
        <v>0</v>
      </c>
      <c r="O116" s="52">
        <f>VLOOKUP(J116,review1,7,FALSE)</f>
        <v>46044</v>
      </c>
      <c r="P116" s="52" t="str">
        <f>VLOOKUP(J116,review1,8,FALSE)</f>
        <v>Thu</v>
      </c>
      <c r="Q116" s="47">
        <f>INT(MOD(J116/10,10))</f>
        <v>2</v>
      </c>
      <c r="R116" s="47" t="str">
        <f>VLOOKUP(J116,review1,9,FALSE)</f>
        <v>NVH G.01</v>
      </c>
      <c r="S116" s="47">
        <f>J116+4000</f>
        <v>7421</v>
      </c>
      <c r="T116" s="6">
        <v>7421</v>
      </c>
      <c r="U116" s="6">
        <f>COUNTIF(review2_code,T116)</f>
        <v>3</v>
      </c>
      <c r="V116" s="4" t="str">
        <f>VLOOKUP(T116,review2,10,FALSE)</f>
        <v>TaiNT51</v>
      </c>
      <c r="W116" s="4" t="str">
        <f>VLOOKUP(T116,review2,11,FALSE)</f>
        <v>NhanDT35</v>
      </c>
      <c r="X116" s="4" t="b">
        <f>OR(EXACT(V116,H116),EXACT(V116,I116),EXACT(W116,H116),EXACT(W116,I116))</f>
        <v>0</v>
      </c>
      <c r="Y116" s="53">
        <f>VLOOKUP(T116,review2,7,FALSE)</f>
        <v>46085</v>
      </c>
      <c r="Z116" s="53" t="str">
        <f>VLOOKUP(T116,review2,8,FALSE)</f>
        <v>Wed</v>
      </c>
      <c r="AA116" s="47">
        <f>INT(MOD(T116/10,10))</f>
        <v>2</v>
      </c>
      <c r="AB116" s="47" t="e">
        <f>VLOOKUP(J116,review2,9,FALSE)</f>
        <v>#N/A</v>
      </c>
      <c r="AC116" s="47"/>
      <c r="AD116" s="6">
        <v>14611</v>
      </c>
      <c r="AE116" s="6">
        <f>COUNTIF(review3_code,AD116)</f>
        <v>3</v>
      </c>
      <c r="AF116" s="54" t="str">
        <f>VLOOKUP(AD116,review3,10,FALSE)</f>
        <v>HuongNTC2</v>
      </c>
      <c r="AG116" s="54" t="str">
        <f>VLOOKUP(AD116,review3,11,FALSE)</f>
        <v>VanTTN2</v>
      </c>
      <c r="AH116" s="47" t="b">
        <f>OR(EXACT(AF116,H116),EXACT(AF116,I116),EXACT(AG116,H116),EXACT(AG116,I116))</f>
        <v>0</v>
      </c>
      <c r="AI116" s="47" t="b">
        <f>OR(EXACT(AF116,V116),EXACT(AF116,W116),EXACT(AG116,V116),EXACT(AG116,W116))</f>
        <v>0</v>
      </c>
      <c r="AJ116" s="53">
        <f>VLOOKUP(AD116,review3,7,FALSE)</f>
        <v>46136</v>
      </c>
      <c r="AK116" s="53" t="str">
        <f>VLOOKUP(AD116,review3,8,FALSE)</f>
        <v>Fri</v>
      </c>
      <c r="AL116" s="47">
        <f>VLOOKUP(AD116,review3,4,FALSE)</f>
        <v>1</v>
      </c>
      <c r="AM116" s="47" t="str">
        <f>VLOOKUP(AD116,review3,9,FALSE)</f>
        <v>NVH.414</v>
      </c>
      <c r="AN116" s="55"/>
      <c r="AO116" t="s">
        <v>688</v>
      </c>
      <c r="AP116" s="98">
        <v>101</v>
      </c>
      <c r="AQ116" s="47" t="str">
        <f>VLOOKUP(AP116,defense1_list,7,FALSE)</f>
        <v>HuongNTC2_HungLD5_SangNM18_VanTTN2_AnNDH2</v>
      </c>
      <c r="AR116" s="57">
        <f>COUNTIF(defense1_forgroup_code,AP116)</f>
        <v>8</v>
      </c>
      <c r="AS116" s="4" t="b">
        <f>ISNUMBER(SEARCH(H116,AQ116))</f>
        <v>0</v>
      </c>
      <c r="AT116" s="4" t="b">
        <f>AND(NOT(ISBLANK(I116)),(ISNUMBER(SEARCH(I116,AQ116))))</f>
        <v>0</v>
      </c>
      <c r="AU116" s="4" t="b">
        <f>(IFERROR(SEARCH(AF116,AQ116),0)+IFERROR(SEARCH(AG116,AQ116),0))&gt;0</f>
        <v>1</v>
      </c>
      <c r="AV116" s="47"/>
      <c r="AW116" s="47"/>
      <c r="AX116" s="47"/>
      <c r="AY116" s="47"/>
      <c r="AZ116" s="128"/>
      <c r="BA116" s="47" t="e">
        <f>VLOOKUP(AZ116,defense2_list,7,FALSE)</f>
        <v>#N/A</v>
      </c>
      <c r="BB116" s="57">
        <f>COUNTIF(defense2_forgroup_code,AZ116)</f>
        <v>0</v>
      </c>
      <c r="BC116" s="4" t="b">
        <f>ISNUMBER(SEARCH(H116,BA116))</f>
        <v>0</v>
      </c>
      <c r="BD116" s="4" t="b">
        <f>AND(NOT(ISBLANK(I116)),(ISNUMBER(SEARCH(I116,AZ116))))</f>
        <v>0</v>
      </c>
      <c r="BE116" s="4"/>
      <c r="BF116" s="47"/>
      <c r="BG116" s="47"/>
    </row>
    <row r="117" spans="1:59" ht="15" thickBot="1" x14ac:dyDescent="0.4">
      <c r="A117" s="47">
        <v>11</v>
      </c>
      <c r="B117" s="48"/>
      <c r="C117" s="49" t="s">
        <v>345</v>
      </c>
      <c r="D117" s="58" t="s">
        <v>346</v>
      </c>
      <c r="E117" s="14" t="s">
        <v>347</v>
      </c>
      <c r="F117" s="14" t="s">
        <v>348</v>
      </c>
      <c r="G117" s="49" t="s">
        <v>89</v>
      </c>
      <c r="H117" s="50" t="s">
        <v>12</v>
      </c>
      <c r="I117" s="51"/>
      <c r="J117" s="6">
        <v>4341</v>
      </c>
      <c r="K117" s="6">
        <f>COUNTIF(review1_code,J117)</f>
        <v>3</v>
      </c>
      <c r="L117" s="4" t="str">
        <f>VLOOKUP(J117,review1,10,FALSE)</f>
        <v>NhanDT35</v>
      </c>
      <c r="M117" s="4" t="str">
        <f>VLOOKUP(J117,review1,11,FALSE)</f>
        <v>NguyenTT15</v>
      </c>
      <c r="N117" s="47" t="b">
        <f>OR(EXACT(L117,H117),EXACT(L117,I117),EXACT(M117,H117),EXACT(M117,I117))</f>
        <v>0</v>
      </c>
      <c r="O117" s="52">
        <f>VLOOKUP(J117,review1,7,FALSE)</f>
        <v>46050</v>
      </c>
      <c r="P117" s="52" t="str">
        <f>VLOOKUP(J117,review1,8,FALSE)</f>
        <v>Wed</v>
      </c>
      <c r="Q117" s="47">
        <f>INT(MOD(J117/10,10))</f>
        <v>4</v>
      </c>
      <c r="R117" s="47" t="str">
        <f>VLOOKUP(J117,review1,9,FALSE)</f>
        <v>NVH G.01</v>
      </c>
      <c r="S117" s="47">
        <f>J117+4000</f>
        <v>8341</v>
      </c>
      <c r="T117" s="6">
        <v>8341</v>
      </c>
      <c r="U117" s="6">
        <f>COUNTIF(review2_code,T117)</f>
        <v>3</v>
      </c>
      <c r="V117" s="4" t="str">
        <f>VLOOKUP(T117,review2,10,FALSE)</f>
        <v>NhanDT35</v>
      </c>
      <c r="W117" s="4" t="str">
        <f>VLOOKUP(T117,review2,11,FALSE)</f>
        <v>NguyenTT15</v>
      </c>
      <c r="X117" s="4" t="b">
        <f>OR(EXACT(V117,H117),EXACT(V117,I117),EXACT(W117,H117),EXACT(W117,I117))</f>
        <v>0</v>
      </c>
      <c r="Y117" s="53">
        <f>VLOOKUP(T117,review2,7,FALSE)</f>
        <v>46091</v>
      </c>
      <c r="Z117" s="53" t="str">
        <f>VLOOKUP(T117,review2,8,FALSE)</f>
        <v>Tue</v>
      </c>
      <c r="AA117" s="47">
        <f>INT(MOD(T117/10,10))</f>
        <v>4</v>
      </c>
      <c r="AB117" s="47" t="e">
        <f>VLOOKUP(J117,review2,9,FALSE)</f>
        <v>#N/A</v>
      </c>
      <c r="AC117" s="47"/>
      <c r="AD117" s="6">
        <v>14342</v>
      </c>
      <c r="AE117" s="6">
        <f>COUNTIF(review3_code,AD117)</f>
        <v>3</v>
      </c>
      <c r="AF117" s="54" t="str">
        <f>VLOOKUP(AD117,review3,10,FALSE)</f>
        <v>TriPT9</v>
      </c>
      <c r="AG117" s="54" t="str">
        <f>VLOOKUP(AD117,review3,11,FALSE)</f>
        <v>SangNM18</v>
      </c>
      <c r="AH117" s="47" t="b">
        <f>OR(EXACT(AF117,H117),EXACT(AF117,I117),EXACT(AG117,H117),EXACT(AG117,I117))</f>
        <v>0</v>
      </c>
      <c r="AI117" s="47" t="b">
        <f>OR(EXACT(AF117,V117),EXACT(AF117,W117),EXACT(AG117,V117),EXACT(AG117,W117))</f>
        <v>0</v>
      </c>
      <c r="AJ117" s="53">
        <f>VLOOKUP(AD117,review3,7,FALSE)</f>
        <v>46133</v>
      </c>
      <c r="AK117" s="53" t="str">
        <f>VLOOKUP(AD117,review3,8,FALSE)</f>
        <v>Tue</v>
      </c>
      <c r="AL117" s="47">
        <f>VLOOKUP(AD117,review3,4,FALSE)</f>
        <v>4</v>
      </c>
      <c r="AM117" s="47" t="str">
        <f>VLOOKUP(AD117,review3,9,FALSE)</f>
        <v>NVH.414</v>
      </c>
      <c r="AN117" s="55"/>
      <c r="AO117" t="s">
        <v>688</v>
      </c>
      <c r="AP117" s="56">
        <v>303</v>
      </c>
      <c r="AQ117" s="47" t="str">
        <f>VLOOKUP(AP117,defense1_list,7,FALSE)</f>
        <v>DucDNM2_NgocTT4_HoangNT20_TriPT9_LongT5</v>
      </c>
      <c r="AR117" s="57">
        <f>COUNTIF(defense1_forgroup_code,AP117)</f>
        <v>7</v>
      </c>
      <c r="AS117" s="4" t="b">
        <f>ISNUMBER(SEARCH(H117,AQ117))</f>
        <v>0</v>
      </c>
      <c r="AT117" s="4" t="b">
        <f>AND(NOT(ISBLANK(I117)),(ISNUMBER(SEARCH(I117,AQ117))))</f>
        <v>0</v>
      </c>
      <c r="AU117" s="4" t="b">
        <f>(IFERROR(SEARCH(AF117,AQ117),0)+IFERROR(SEARCH(AG117,AQ117),0))&gt;0</f>
        <v>1</v>
      </c>
      <c r="AV117" s="47"/>
      <c r="AW117" s="47"/>
      <c r="AX117" s="47"/>
      <c r="AY117" s="47"/>
      <c r="AZ117" s="128"/>
      <c r="BA117" s="47" t="e">
        <f>VLOOKUP(AZ117,defense2_list,7,FALSE)</f>
        <v>#N/A</v>
      </c>
      <c r="BB117" s="57">
        <f>COUNTIF(defense2_forgroup_code,AZ117)</f>
        <v>0</v>
      </c>
      <c r="BC117" s="4" t="b">
        <f>ISNUMBER(SEARCH(H117,BA117))</f>
        <v>0</v>
      </c>
      <c r="BD117" s="4" t="b">
        <f>AND(NOT(ISBLANK(I117)),(ISNUMBER(SEARCH(I117,AZ117))))</f>
        <v>0</v>
      </c>
      <c r="BE117" s="4"/>
      <c r="BF117" s="47"/>
      <c r="BG117" s="47"/>
    </row>
    <row r="118" spans="1:59" ht="29.5" thickBot="1" x14ac:dyDescent="0.4">
      <c r="A118" s="47">
        <v>99</v>
      </c>
      <c r="B118" s="48"/>
      <c r="C118" s="49" t="s">
        <v>353</v>
      </c>
      <c r="D118" s="58" t="s">
        <v>354</v>
      </c>
      <c r="E118" s="14" t="s">
        <v>355</v>
      </c>
      <c r="F118" s="14" t="s">
        <v>356</v>
      </c>
      <c r="G118" s="49" t="s">
        <v>605</v>
      </c>
      <c r="H118" s="50" t="s">
        <v>19</v>
      </c>
      <c r="I118" s="51" t="s">
        <v>65</v>
      </c>
      <c r="J118" s="6">
        <v>3442</v>
      </c>
      <c r="K118" s="6">
        <f>COUNTIF(review1_code,J118)</f>
        <v>3</v>
      </c>
      <c r="L118" s="4" t="str">
        <f>VLOOKUP(J118,review1,10,FALSE)</f>
        <v>TaiNT51</v>
      </c>
      <c r="M118" s="4" t="str">
        <f>VLOOKUP(J118,review1,11,FALSE)</f>
        <v>NhanDT35</v>
      </c>
      <c r="N118" s="47" t="b">
        <f>OR(EXACT(L118,H118),EXACT(L118,I118),EXACT(M118,H118),EXACT(M118,I118))</f>
        <v>0</v>
      </c>
      <c r="O118" s="52">
        <f>VLOOKUP(J118,review1,7,FALSE)</f>
        <v>46044</v>
      </c>
      <c r="P118" s="52" t="str">
        <f>VLOOKUP(J118,review1,8,FALSE)</f>
        <v>Thu</v>
      </c>
      <c r="Q118" s="47">
        <f>INT(MOD(J118/10,10))</f>
        <v>4</v>
      </c>
      <c r="R118" s="47" t="str">
        <f>VLOOKUP(J118,review1,9,FALSE)</f>
        <v>NVH G.01</v>
      </c>
      <c r="S118" s="47">
        <f>J118+4000</f>
        <v>7442</v>
      </c>
      <c r="T118" s="6">
        <v>7442</v>
      </c>
      <c r="U118" s="6">
        <f>COUNTIF(review2_code,T118)</f>
        <v>3</v>
      </c>
      <c r="V118" s="4" t="str">
        <f>VLOOKUP(T118,review2,10,FALSE)</f>
        <v>TaiNT51</v>
      </c>
      <c r="W118" s="4" t="str">
        <f>VLOOKUP(T118,review2,11,FALSE)</f>
        <v>NhanDT35</v>
      </c>
      <c r="X118" s="4" t="b">
        <f>OR(EXACT(V118,H118),EXACT(V118,I118),EXACT(W118,H118),EXACT(W118,I118))</f>
        <v>0</v>
      </c>
      <c r="Y118" s="53">
        <f>VLOOKUP(T118,review2,7,FALSE)</f>
        <v>46085</v>
      </c>
      <c r="Z118" s="53" t="str">
        <f>VLOOKUP(T118,review2,8,FALSE)</f>
        <v>Wed</v>
      </c>
      <c r="AA118" s="47">
        <f>INT(MOD(T118/10,10))</f>
        <v>4</v>
      </c>
      <c r="AB118" s="47" t="e">
        <f>VLOOKUP(J118,review2,9,FALSE)</f>
        <v>#N/A</v>
      </c>
      <c r="AC118" s="47"/>
      <c r="AD118" s="6">
        <v>14323</v>
      </c>
      <c r="AE118" s="6">
        <f>COUNTIF(review3_code,AD118)</f>
        <v>3</v>
      </c>
      <c r="AF118" s="54" t="str">
        <f>VLOOKUP(AD118,review3,10,FALSE)</f>
        <v>HuongNTC2</v>
      </c>
      <c r="AG118" s="54" t="str">
        <f>VLOOKUP(AD118,review3,11,FALSE)</f>
        <v>VanTTN2</v>
      </c>
      <c r="AH118" s="47" t="b">
        <f>OR(EXACT(AF118,H118),EXACT(AF118,I118),EXACT(AG118,H118),EXACT(AG118,I118))</f>
        <v>0</v>
      </c>
      <c r="AI118" s="47" t="b">
        <f>OR(EXACT(AF118,V118),EXACT(AF118,W118),EXACT(AG118,V118),EXACT(AG118,W118))</f>
        <v>0</v>
      </c>
      <c r="AJ118" s="53">
        <f>VLOOKUP(AD118,review3,7,FALSE)</f>
        <v>46133</v>
      </c>
      <c r="AK118" s="53" t="str">
        <f>VLOOKUP(AD118,review3,8,FALSE)</f>
        <v>Tue</v>
      </c>
      <c r="AL118" s="47">
        <f>VLOOKUP(AD118,review3,4,FALSE)</f>
        <v>2</v>
      </c>
      <c r="AM118" s="47" t="str">
        <f>VLOOKUP(AD118,review3,9,FALSE)</f>
        <v>NVH.414</v>
      </c>
      <c r="AN118" s="55"/>
      <c r="AO118" t="s">
        <v>688</v>
      </c>
      <c r="AP118" s="98">
        <v>401</v>
      </c>
      <c r="AQ118" s="47" t="str">
        <f>VLOOKUP(AP118,defense1_list,7,FALSE)</f>
        <v>HuongNTC2_NguyenTT15_SangNM18_VanTTN2_ThinhDP2</v>
      </c>
      <c r="AR118" s="57">
        <f>COUNTIF(defense1_forgroup_code,AP118)</f>
        <v>7</v>
      </c>
      <c r="AS118" s="4" t="b">
        <f>ISNUMBER(SEARCH(H118,AQ118))</f>
        <v>0</v>
      </c>
      <c r="AT118" s="4" t="b">
        <f>AND(NOT(ISBLANK(I118)),(ISNUMBER(SEARCH(I118,AQ118))))</f>
        <v>0</v>
      </c>
      <c r="AU118" s="4" t="b">
        <f>(IFERROR(SEARCH(AF118,AQ118),0)+IFERROR(SEARCH(AG118,AQ118),0))&gt;0</f>
        <v>1</v>
      </c>
      <c r="AV118" s="47"/>
      <c r="AW118" s="47"/>
      <c r="AX118" s="47"/>
      <c r="AY118" s="47"/>
      <c r="AZ118" s="128"/>
      <c r="BA118" s="47" t="e">
        <f>VLOOKUP(AZ118,defense2_list,7,FALSE)</f>
        <v>#N/A</v>
      </c>
      <c r="BB118" s="57">
        <f>COUNTIF(defense2_forgroup_code,AZ118)</f>
        <v>0</v>
      </c>
      <c r="BC118" s="4" t="b">
        <f>ISNUMBER(SEARCH(H118,BA118))</f>
        <v>0</v>
      </c>
      <c r="BD118" s="4" t="b">
        <f>AND(NOT(ISBLANK(I118)),(ISNUMBER(SEARCH(I118,AZ118))))</f>
        <v>0</v>
      </c>
      <c r="BE118" s="4"/>
      <c r="BF118" s="47"/>
      <c r="BG118" s="47"/>
    </row>
    <row r="119" spans="1:59" ht="15" thickBot="1" x14ac:dyDescent="0.4">
      <c r="A119" s="47">
        <v>53</v>
      </c>
      <c r="B119" s="48"/>
      <c r="C119" s="49" t="s">
        <v>357</v>
      </c>
      <c r="D119" s="58" t="s">
        <v>358</v>
      </c>
      <c r="E119" s="14" t="s">
        <v>359</v>
      </c>
      <c r="F119" s="14" t="s">
        <v>360</v>
      </c>
      <c r="G119" s="49" t="s">
        <v>526</v>
      </c>
      <c r="H119" s="50" t="s">
        <v>15</v>
      </c>
      <c r="I119" s="51"/>
      <c r="J119" s="6">
        <v>3452</v>
      </c>
      <c r="K119" s="6">
        <f>COUNTIF(review1_code,J119)</f>
        <v>3</v>
      </c>
      <c r="L119" s="4" t="str">
        <f>VLOOKUP(J119,review1,10,FALSE)</f>
        <v>TriPT9</v>
      </c>
      <c r="M119" s="4" t="str">
        <f>VLOOKUP(J119,review1,11,FALSE)</f>
        <v>VuLNS</v>
      </c>
      <c r="N119" s="47" t="b">
        <f>OR(EXACT(L119,H119),EXACT(L119,I119),EXACT(M119,H119),EXACT(M119,I119))</f>
        <v>0</v>
      </c>
      <c r="O119" s="52">
        <f>VLOOKUP(J119,review1,7,FALSE)</f>
        <v>46044</v>
      </c>
      <c r="P119" s="52" t="str">
        <f>VLOOKUP(J119,review1,8,FALSE)</f>
        <v>Thu</v>
      </c>
      <c r="Q119" s="47">
        <f>INT(MOD(J119/10,10))</f>
        <v>5</v>
      </c>
      <c r="R119" s="47" t="str">
        <f>VLOOKUP(J119,review1,9,FALSE)</f>
        <v>NVH G.02</v>
      </c>
      <c r="S119" s="47">
        <f>J119+4000</f>
        <v>7452</v>
      </c>
      <c r="T119" s="6">
        <v>7452</v>
      </c>
      <c r="U119" s="6">
        <f>COUNTIF(review2_code,T119)</f>
        <v>3</v>
      </c>
      <c r="V119" s="4" t="str">
        <f>VLOOKUP(T119,review2,10,FALSE)</f>
        <v>TriPT9</v>
      </c>
      <c r="W119" s="4" t="str">
        <f>VLOOKUP(T119,review2,11,FALSE)</f>
        <v>VuLNS</v>
      </c>
      <c r="X119" s="4" t="b">
        <f>OR(EXACT(V119,H119),EXACT(V119,I119),EXACT(W119,H119),EXACT(W119,I119))</f>
        <v>0</v>
      </c>
      <c r="Y119" s="53">
        <f>VLOOKUP(T119,review2,7,FALSE)</f>
        <v>46085</v>
      </c>
      <c r="Z119" s="53" t="str">
        <f>VLOOKUP(T119,review2,8,FALSE)</f>
        <v>Wed</v>
      </c>
      <c r="AA119" s="47">
        <f>INT(MOD(T119/10,10))</f>
        <v>5</v>
      </c>
      <c r="AB119" s="47" t="e">
        <f>VLOOKUP(J119,review2,9,FALSE)</f>
        <v>#N/A</v>
      </c>
      <c r="AC119" s="47"/>
      <c r="AD119" s="6">
        <v>14651</v>
      </c>
      <c r="AE119" s="6">
        <f>COUNTIF(review3_code,AD119)</f>
        <v>3</v>
      </c>
      <c r="AF119" s="54" t="str">
        <f>VLOOKUP(AD119,review3,10,FALSE)</f>
        <v>PhuongLHK</v>
      </c>
      <c r="AG119" s="54" t="str">
        <f>VLOOKUP(AD119,review3,11,FALSE)</f>
        <v>NhanDT35</v>
      </c>
      <c r="AH119" s="47" t="b">
        <f>OR(EXACT(AF119,H119),EXACT(AF119,I119),EXACT(AG119,H119),EXACT(AG119,I119))</f>
        <v>0</v>
      </c>
      <c r="AI119" s="47" t="b">
        <f>OR(EXACT(AF119,V119),EXACT(AF119,W119),EXACT(AG119,V119),EXACT(AG119,W119))</f>
        <v>0</v>
      </c>
      <c r="AJ119" s="53">
        <f>VLOOKUP(AD119,review3,7,FALSE)</f>
        <v>46136</v>
      </c>
      <c r="AK119" s="53" t="str">
        <f>VLOOKUP(AD119,review3,8,FALSE)</f>
        <v>Fri</v>
      </c>
      <c r="AL119" s="47">
        <f>VLOOKUP(AD119,review3,4,FALSE)</f>
        <v>5</v>
      </c>
      <c r="AM119" s="47" t="str">
        <f>VLOOKUP(AD119,review3,9,FALSE)</f>
        <v>NVH.301</v>
      </c>
      <c r="AN119" s="55"/>
      <c r="AO119" t="s">
        <v>688</v>
      </c>
      <c r="AP119" s="56">
        <v>104</v>
      </c>
      <c r="AQ119" s="47" t="str">
        <f>VLOOKUP(AP119,defense1_list,7,FALSE)</f>
        <v>PhuongLHK_NguyenTT15_NhanDT35_TriPT9_ThinhDP2</v>
      </c>
      <c r="AR119" s="57">
        <f>COUNTIF(defense1_forgroup_code,AP119)</f>
        <v>7</v>
      </c>
      <c r="AS119" s="4" t="b">
        <f>ISNUMBER(SEARCH(H119,AQ119))</f>
        <v>0</v>
      </c>
      <c r="AT119" s="4" t="b">
        <f>AND(NOT(ISBLANK(I119)),(ISNUMBER(SEARCH(I119,AQ119))))</f>
        <v>0</v>
      </c>
      <c r="AU119" s="4" t="b">
        <f>(IFERROR(SEARCH(AF119,AQ119),0)+IFERROR(SEARCH(AG119,AQ119),0))&gt;0</f>
        <v>1</v>
      </c>
      <c r="AV119" s="47"/>
      <c r="AW119" s="47"/>
      <c r="AX119" s="47"/>
      <c r="AY119" s="47"/>
      <c r="AZ119" s="128"/>
      <c r="BA119" s="47" t="e">
        <f>VLOOKUP(AZ119,defense2_list,7,FALSE)</f>
        <v>#N/A</v>
      </c>
      <c r="BB119" s="57">
        <f>COUNTIF(defense2_forgroup_code,AZ119)</f>
        <v>0</v>
      </c>
      <c r="BC119" s="4" t="b">
        <f>ISNUMBER(SEARCH(H119,BA119))</f>
        <v>0</v>
      </c>
      <c r="BD119" s="4" t="b">
        <f>AND(NOT(ISBLANK(I119)),(ISNUMBER(SEARCH(I119,AZ119))))</f>
        <v>0</v>
      </c>
      <c r="BE119" s="4"/>
      <c r="BF119" s="47"/>
      <c r="BG119" s="47"/>
    </row>
    <row r="120" spans="1:59" ht="29.5" thickBot="1" x14ac:dyDescent="0.4">
      <c r="A120" s="47">
        <v>108</v>
      </c>
      <c r="B120" s="48"/>
      <c r="C120" s="49" t="s">
        <v>361</v>
      </c>
      <c r="D120" s="58" t="s">
        <v>362</v>
      </c>
      <c r="E120" s="14" t="s">
        <v>616</v>
      </c>
      <c r="F120" s="14" t="s">
        <v>363</v>
      </c>
      <c r="G120" s="49" t="s">
        <v>614</v>
      </c>
      <c r="H120" s="50" t="s">
        <v>647</v>
      </c>
      <c r="I120" s="51" t="s">
        <v>21</v>
      </c>
      <c r="J120" s="6">
        <v>3533</v>
      </c>
      <c r="K120" s="6">
        <f>COUNTIF(review1_code,J120)</f>
        <v>3</v>
      </c>
      <c r="L120" s="4" t="str">
        <f>VLOOKUP(J120,review1,10,FALSE)</f>
        <v>PhuongLHK</v>
      </c>
      <c r="M120" s="4" t="str">
        <f>VLOOKUP(J120,review1,11,FALSE)</f>
        <v>MinhTTH5</v>
      </c>
      <c r="N120" s="47" t="b">
        <f>OR(EXACT(L120,H120),EXACT(L120,I120),EXACT(M120,H120),EXACT(M120,I120))</f>
        <v>0</v>
      </c>
      <c r="O120" s="52">
        <f>VLOOKUP(J120,review1,7,FALSE)</f>
        <v>46045</v>
      </c>
      <c r="P120" s="52" t="str">
        <f>VLOOKUP(J120,review1,8,FALSE)</f>
        <v>Fri</v>
      </c>
      <c r="Q120" s="47">
        <f>INT(MOD(J120/10,10))</f>
        <v>3</v>
      </c>
      <c r="R120" s="47" t="str">
        <f>VLOOKUP(J120,review1,9,FALSE)</f>
        <v>NVH G.05</v>
      </c>
      <c r="S120" s="47">
        <f>J120+4000</f>
        <v>7533</v>
      </c>
      <c r="T120" s="6">
        <v>7533</v>
      </c>
      <c r="U120" s="6">
        <f>COUNTIF(review2_code,T120)</f>
        <v>3</v>
      </c>
      <c r="V120" s="4" t="str">
        <f>VLOOKUP(T120,review2,10,FALSE)</f>
        <v>PhuongLHK</v>
      </c>
      <c r="W120" s="4" t="str">
        <f>VLOOKUP(T120,review2,11,FALSE)</f>
        <v>MinhTTH5</v>
      </c>
      <c r="X120" s="4" t="b">
        <f>OR(EXACT(V120,H120),EXACT(V120,I120),EXACT(W120,H120),EXACT(W120,I120))</f>
        <v>0</v>
      </c>
      <c r="Y120" s="53">
        <f>VLOOKUP(T120,review2,7,FALSE)</f>
        <v>46086</v>
      </c>
      <c r="Z120" s="53" t="str">
        <f>VLOOKUP(T120,review2,8,FALSE)</f>
        <v>Thu</v>
      </c>
      <c r="AA120" s="47">
        <f>INT(MOD(T120/10,10))</f>
        <v>3</v>
      </c>
      <c r="AB120" s="47" t="e">
        <f>VLOOKUP(J120,review2,9,FALSE)</f>
        <v>#N/A</v>
      </c>
      <c r="AC120" s="47"/>
      <c r="AD120" s="6">
        <v>14341</v>
      </c>
      <c r="AE120" s="6">
        <f>COUNTIF(review3_code,AD120)</f>
        <v>3</v>
      </c>
      <c r="AF120" s="54" t="str">
        <f>VLOOKUP(AD120,review3,10,FALSE)</f>
        <v>TamPM</v>
      </c>
      <c r="AG120" s="54" t="str">
        <f>VLOOKUP(AD120,review3,11,FALSE)</f>
        <v>LamNN15</v>
      </c>
      <c r="AH120" s="47" t="b">
        <f>OR(EXACT(AF120,H120),EXACT(AF120,I120),EXACT(AG120,H120),EXACT(AG120,I120))</f>
        <v>0</v>
      </c>
      <c r="AI120" s="47" t="b">
        <f>OR(EXACT(AF120,V120),EXACT(AF120,W120),EXACT(AG120,V120),EXACT(AG120,W120))</f>
        <v>0</v>
      </c>
      <c r="AJ120" s="53">
        <f>VLOOKUP(AD120,review3,7,FALSE)</f>
        <v>46133</v>
      </c>
      <c r="AK120" s="53" t="str">
        <f>VLOOKUP(AD120,review3,8,FALSE)</f>
        <v>Tue</v>
      </c>
      <c r="AL120" s="47">
        <f>VLOOKUP(AD120,review3,4,FALSE)</f>
        <v>4</v>
      </c>
      <c r="AM120" s="47" t="str">
        <f>VLOOKUP(AD120,review3,9,FALSE)</f>
        <v>NVH.415</v>
      </c>
      <c r="AN120" s="55"/>
      <c r="AO120" t="s">
        <v>688</v>
      </c>
      <c r="AP120" s="98">
        <v>404</v>
      </c>
      <c r="AQ120" s="47" t="str">
        <f>VLOOKUP(AP120,defense1_list,7,FALSE)</f>
        <v>PhuongLHK_HungLD5_NhanDT35_VuLNS_TamPM</v>
      </c>
      <c r="AR120" s="57">
        <f>COUNTIF(defense1_forgroup_code,AP120)</f>
        <v>7</v>
      </c>
      <c r="AS120" s="4" t="b">
        <f>ISNUMBER(SEARCH(H120,AQ120))</f>
        <v>0</v>
      </c>
      <c r="AT120" s="4" t="b">
        <f>AND(NOT(ISBLANK(I120)),(ISNUMBER(SEARCH(I120,AQ120))))</f>
        <v>0</v>
      </c>
      <c r="AU120" s="4" t="b">
        <f>(IFERROR(SEARCH(AF120,AQ120),0)+IFERROR(SEARCH(AG120,AQ120),0))&gt;0</f>
        <v>1</v>
      </c>
      <c r="AV120" s="47"/>
      <c r="AW120" s="47"/>
      <c r="AX120" s="47"/>
      <c r="AY120" s="47"/>
      <c r="AZ120" s="128"/>
      <c r="BA120" s="47" t="e">
        <f>VLOOKUP(AZ120,defense2_list,7,FALSE)</f>
        <v>#N/A</v>
      </c>
      <c r="BB120" s="57">
        <f>COUNTIF(defense2_forgroup_code,AZ120)</f>
        <v>0</v>
      </c>
      <c r="BC120" s="4" t="b">
        <f>ISNUMBER(SEARCH(H120,BA120))</f>
        <v>0</v>
      </c>
      <c r="BD120" s="4" t="b">
        <f>AND(NOT(ISBLANK(I120)),(ISNUMBER(SEARCH(I120,AZ120))))</f>
        <v>0</v>
      </c>
      <c r="BE120" s="4"/>
      <c r="BF120" s="47"/>
      <c r="BG120" s="47"/>
    </row>
    <row r="121" spans="1:59" ht="15" thickBot="1" x14ac:dyDescent="0.4">
      <c r="A121" s="47">
        <v>76</v>
      </c>
      <c r="B121" s="48"/>
      <c r="C121" s="49" t="s">
        <v>376</v>
      </c>
      <c r="D121" s="58" t="s">
        <v>377</v>
      </c>
      <c r="E121" s="14" t="s">
        <v>378</v>
      </c>
      <c r="F121" s="14" t="s">
        <v>379</v>
      </c>
      <c r="G121" s="49" t="s">
        <v>69</v>
      </c>
      <c r="H121" s="50" t="s">
        <v>17</v>
      </c>
      <c r="I121" s="51"/>
      <c r="J121" s="6">
        <v>3543</v>
      </c>
      <c r="K121" s="6">
        <f>COUNTIF(review1_code,J121)</f>
        <v>3</v>
      </c>
      <c r="L121" s="4" t="str">
        <f>VLOOKUP(J121,review1,10,FALSE)</f>
        <v>TriPT9</v>
      </c>
      <c r="M121" s="4" t="str">
        <f>VLOOKUP(J121,review1,11,FALSE)</f>
        <v>LongT5</v>
      </c>
      <c r="N121" s="47" t="b">
        <f>OR(EXACT(L121,H121),EXACT(L121,I121),EXACT(M121,H121),EXACT(M121,I121))</f>
        <v>0</v>
      </c>
      <c r="O121" s="52">
        <f>VLOOKUP(J121,review1,7,FALSE)</f>
        <v>46045</v>
      </c>
      <c r="P121" s="52" t="str">
        <f>VLOOKUP(J121,review1,8,FALSE)</f>
        <v>Fri</v>
      </c>
      <c r="Q121" s="47">
        <f>INT(MOD(J121/10,10))</f>
        <v>4</v>
      </c>
      <c r="R121" s="47" t="str">
        <f>VLOOKUP(J121,review1,9,FALSE)</f>
        <v>NVH 420</v>
      </c>
      <c r="S121" s="47">
        <f>J121+4000</f>
        <v>7543</v>
      </c>
      <c r="T121" s="6">
        <v>7543</v>
      </c>
      <c r="U121" s="6">
        <f>COUNTIF(review2_code,T121)</f>
        <v>3</v>
      </c>
      <c r="V121" s="4" t="str">
        <f>VLOOKUP(T121,review2,10,FALSE)</f>
        <v>TriPT9</v>
      </c>
      <c r="W121" s="4" t="str">
        <f>VLOOKUP(T121,review2,11,FALSE)</f>
        <v>LongT5</v>
      </c>
      <c r="X121" s="4" t="b">
        <f>OR(EXACT(V121,H121),EXACT(V121,I121),EXACT(W121,H121),EXACT(W121,I121))</f>
        <v>0</v>
      </c>
      <c r="Y121" s="53">
        <f>VLOOKUP(T121,review2,7,FALSE)</f>
        <v>46086</v>
      </c>
      <c r="Z121" s="53" t="str">
        <f>VLOOKUP(T121,review2,8,FALSE)</f>
        <v>Thu</v>
      </c>
      <c r="AA121" s="47">
        <f>INT(MOD(T121/10,10))</f>
        <v>4</v>
      </c>
      <c r="AB121" s="47" t="e">
        <f>VLOOKUP(J121,review2,9,FALSE)</f>
        <v>#N/A</v>
      </c>
      <c r="AC121" s="47"/>
      <c r="AD121" s="6">
        <v>14532</v>
      </c>
      <c r="AE121" s="6">
        <f>COUNTIF(review3_code,AD121)</f>
        <v>3</v>
      </c>
      <c r="AF121" s="54" t="str">
        <f>VLOOKUP(AD121,review3,10,FALSE)</f>
        <v>HuongNTC2</v>
      </c>
      <c r="AG121" s="54" t="str">
        <f>VLOOKUP(AD121,review3,11,FALSE)</f>
        <v>HoangNT20</v>
      </c>
      <c r="AH121" s="47" t="b">
        <f>OR(EXACT(AF121,H121),EXACT(AF121,I121),EXACT(AG121,H121),EXACT(AG121,I121))</f>
        <v>0</v>
      </c>
      <c r="AI121" s="47" t="b">
        <f>OR(EXACT(AF121,V121),EXACT(AF121,W121),EXACT(AG121,V121),EXACT(AG121,W121))</f>
        <v>0</v>
      </c>
      <c r="AJ121" s="53">
        <f>VLOOKUP(AD121,review3,7,FALSE)</f>
        <v>46135</v>
      </c>
      <c r="AK121" s="53" t="str">
        <f>VLOOKUP(AD121,review3,8,FALSE)</f>
        <v>Thu</v>
      </c>
      <c r="AL121" s="47">
        <f>VLOOKUP(AD121,review3,4,FALSE)</f>
        <v>3</v>
      </c>
      <c r="AM121" s="47" t="str">
        <f>VLOOKUP(AD121,review3,9,FALSE)</f>
        <v>NVH.414</v>
      </c>
      <c r="AN121" s="55"/>
      <c r="AO121" t="s">
        <v>688</v>
      </c>
      <c r="AP121" s="56">
        <v>401</v>
      </c>
      <c r="AQ121" s="47" t="str">
        <f>VLOOKUP(AP121,defense1_list,7,FALSE)</f>
        <v>HuongNTC2_NguyenTT15_SangNM18_VanTTN2_ThinhDP2</v>
      </c>
      <c r="AR121" s="57">
        <f>COUNTIF(defense1_forgroup_code,AP121)</f>
        <v>7</v>
      </c>
      <c r="AS121" s="4" t="b">
        <f>ISNUMBER(SEARCH(H121,AQ121))</f>
        <v>0</v>
      </c>
      <c r="AT121" s="4" t="b">
        <f>AND(NOT(ISBLANK(I121)),(ISNUMBER(SEARCH(I121,AQ121))))</f>
        <v>0</v>
      </c>
      <c r="AU121" s="4" t="b">
        <f>(IFERROR(SEARCH(AF121,AQ121),0)+IFERROR(SEARCH(AG121,AQ121),0))&gt;0</f>
        <v>1</v>
      </c>
      <c r="AV121" s="47"/>
      <c r="AW121" s="47"/>
      <c r="AX121" s="47"/>
      <c r="AY121" s="47"/>
      <c r="AZ121" s="128"/>
      <c r="BA121" s="47" t="e">
        <f>VLOOKUP(AZ121,defense2_list,7,FALSE)</f>
        <v>#N/A</v>
      </c>
      <c r="BB121" s="57">
        <f>COUNTIF(defense2_forgroup_code,AZ121)</f>
        <v>0</v>
      </c>
      <c r="BC121" s="4" t="b">
        <f>ISNUMBER(SEARCH(H121,BA121))</f>
        <v>0</v>
      </c>
      <c r="BD121" s="4" t="b">
        <f>AND(NOT(ISBLANK(I121)),(ISNUMBER(SEARCH(I121,AZ121))))</f>
        <v>0</v>
      </c>
      <c r="BE121" s="4"/>
      <c r="BF121" s="47"/>
      <c r="BG121" s="47"/>
    </row>
    <row r="122" spans="1:59" ht="15" thickBot="1" x14ac:dyDescent="0.4">
      <c r="A122" s="47">
        <v>118</v>
      </c>
      <c r="B122" s="48"/>
      <c r="C122" s="49" t="s">
        <v>617</v>
      </c>
      <c r="D122" s="58" t="s">
        <v>618</v>
      </c>
      <c r="E122" s="14" t="s">
        <v>619</v>
      </c>
      <c r="F122" s="14" t="s">
        <v>620</v>
      </c>
      <c r="G122" s="49" t="s">
        <v>91</v>
      </c>
      <c r="H122" s="50" t="s">
        <v>25</v>
      </c>
      <c r="I122" s="51"/>
      <c r="J122" s="6">
        <v>3551</v>
      </c>
      <c r="K122" s="6">
        <f>COUNTIF(review1_code,J122)</f>
        <v>3</v>
      </c>
      <c r="L122" s="4" t="str">
        <f>VLOOKUP(J122,review1,10,FALSE)</f>
        <v>LamNN15</v>
      </c>
      <c r="M122" s="4" t="str">
        <f>VLOOKUP(J122,review1,11,FALSE)</f>
        <v>SangNM18</v>
      </c>
      <c r="N122" s="47" t="b">
        <f>OR(EXACT(L122,H122),EXACT(L122,I122),EXACT(M122,H122),EXACT(M122,I122))</f>
        <v>0</v>
      </c>
      <c r="O122" s="52">
        <f>VLOOKUP(J122,review1,7,FALSE)</f>
        <v>46045</v>
      </c>
      <c r="P122" s="52" t="str">
        <f>VLOOKUP(J122,review1,8,FALSE)</f>
        <v>Fri</v>
      </c>
      <c r="Q122" s="47">
        <f>INT(MOD(J122/10,10))</f>
        <v>5</v>
      </c>
      <c r="R122" s="47" t="str">
        <f>VLOOKUP(J122,review1,9,FALSE)</f>
        <v>NVH G.04</v>
      </c>
      <c r="S122" s="47">
        <f>J122+4000</f>
        <v>7551</v>
      </c>
      <c r="T122" s="6">
        <v>7551</v>
      </c>
      <c r="U122" s="6">
        <f>COUNTIF(review2_code,T122)</f>
        <v>3</v>
      </c>
      <c r="V122" s="4" t="str">
        <f>VLOOKUP(T122,review2,10,FALSE)</f>
        <v>LamNN15</v>
      </c>
      <c r="W122" s="4" t="str">
        <f>VLOOKUP(T122,review2,11,FALSE)</f>
        <v>SangNM18</v>
      </c>
      <c r="X122" s="4" t="b">
        <f>OR(EXACT(V122,H122),EXACT(V122,I122),EXACT(W122,H122),EXACT(W122,I122))</f>
        <v>0</v>
      </c>
      <c r="Y122" s="53">
        <f>VLOOKUP(T122,review2,7,FALSE)</f>
        <v>46086</v>
      </c>
      <c r="Z122" s="53" t="str">
        <f>VLOOKUP(T122,review2,8,FALSE)</f>
        <v>Thu</v>
      </c>
      <c r="AA122" s="47">
        <f>INT(MOD(T122/10,10))</f>
        <v>5</v>
      </c>
      <c r="AB122" s="47" t="e">
        <f>VLOOKUP(J122,review2,9,FALSE)</f>
        <v>#N/A</v>
      </c>
      <c r="AC122" s="47"/>
      <c r="AD122" s="6">
        <v>14532</v>
      </c>
      <c r="AE122" s="6">
        <f>COUNTIF(review3_code,AD122)</f>
        <v>3</v>
      </c>
      <c r="AF122" s="54" t="str">
        <f>VLOOKUP(AD122,review3,10,FALSE)</f>
        <v>HuongNTC2</v>
      </c>
      <c r="AG122" s="54" t="str">
        <f>VLOOKUP(AD122,review3,11,FALSE)</f>
        <v>HoangNT20</v>
      </c>
      <c r="AH122" s="47" t="b">
        <f>OR(EXACT(AF122,H122),EXACT(AF122,I122),EXACT(AG122,H122),EXACT(AG122,I122))</f>
        <v>0</v>
      </c>
      <c r="AI122" s="47" t="b">
        <f>OR(EXACT(AF122,V122),EXACT(AF122,W122),EXACT(AG122,V122),EXACT(AG122,W122))</f>
        <v>0</v>
      </c>
      <c r="AJ122" s="53">
        <f>VLOOKUP(AD122,review3,7,FALSE)</f>
        <v>46135</v>
      </c>
      <c r="AK122" s="53" t="str">
        <f>VLOOKUP(AD122,review3,8,FALSE)</f>
        <v>Thu</v>
      </c>
      <c r="AL122" s="47">
        <f>VLOOKUP(AD122,review3,4,FALSE)</f>
        <v>3</v>
      </c>
      <c r="AM122" s="47" t="str">
        <f>VLOOKUP(AD122,review3,9,FALSE)</f>
        <v>NVH.414</v>
      </c>
      <c r="AN122" s="55"/>
      <c r="AO122" t="s">
        <v>688</v>
      </c>
      <c r="AP122" s="98">
        <v>101</v>
      </c>
      <c r="AQ122" s="47" t="str">
        <f>VLOOKUP(AP122,defense1_list,7,FALSE)</f>
        <v>HuongNTC2_HungLD5_SangNM18_VanTTN2_AnNDH2</v>
      </c>
      <c r="AR122" s="57">
        <f>COUNTIF(defense1_forgroup_code,AP122)</f>
        <v>8</v>
      </c>
      <c r="AS122" s="4" t="b">
        <f>ISNUMBER(SEARCH(H122,AQ122))</f>
        <v>0</v>
      </c>
      <c r="AT122" s="4" t="b">
        <f>AND(NOT(ISBLANK(I122)),(ISNUMBER(SEARCH(I122,AQ122))))</f>
        <v>0</v>
      </c>
      <c r="AU122" s="4" t="b">
        <f>(IFERROR(SEARCH(AF122,AQ122),0)+IFERROR(SEARCH(AG122,AQ122),0))&gt;0</f>
        <v>1</v>
      </c>
      <c r="AV122" s="47"/>
      <c r="AW122" s="47"/>
      <c r="AX122" s="47"/>
      <c r="AY122" s="47"/>
      <c r="AZ122" s="128"/>
      <c r="BA122" s="47" t="e">
        <f>VLOOKUP(AZ122,defense2_list,7,FALSE)</f>
        <v>#N/A</v>
      </c>
      <c r="BB122" s="57">
        <f>COUNTIF(defense2_forgroup_code,AZ122)</f>
        <v>0</v>
      </c>
      <c r="BC122" s="4" t="b">
        <f>ISNUMBER(SEARCH(H122,BA122))</f>
        <v>0</v>
      </c>
      <c r="BD122" s="4" t="b">
        <f>AND(NOT(ISBLANK(I122)),(ISNUMBER(SEARCH(I122,AZ122))))</f>
        <v>0</v>
      </c>
      <c r="BE122" s="4"/>
      <c r="BF122" s="47"/>
      <c r="BG122" s="47"/>
    </row>
    <row r="123" spans="1:59" ht="15" thickBot="1" x14ac:dyDescent="0.4">
      <c r="A123" s="47">
        <v>97</v>
      </c>
      <c r="B123" s="48"/>
      <c r="C123" s="49" t="s">
        <v>388</v>
      </c>
      <c r="D123" s="58" t="s">
        <v>389</v>
      </c>
      <c r="E123" s="14" t="s">
        <v>390</v>
      </c>
      <c r="F123" s="14" t="s">
        <v>391</v>
      </c>
      <c r="G123" s="49" t="s">
        <v>91</v>
      </c>
      <c r="H123" s="50" t="s">
        <v>25</v>
      </c>
      <c r="I123" s="51"/>
      <c r="J123" s="6">
        <v>3553</v>
      </c>
      <c r="K123" s="6">
        <f>COUNTIF(review1_code,J123)</f>
        <v>3</v>
      </c>
      <c r="L123" s="4" t="str">
        <f>VLOOKUP(J123,review1,10,FALSE)</f>
        <v>PhuongLHK</v>
      </c>
      <c r="M123" s="4" t="str">
        <f>VLOOKUP(J123,review1,11,FALSE)</f>
        <v>NhanDT35</v>
      </c>
      <c r="N123" s="47" t="b">
        <f>OR(EXACT(L123,H123),EXACT(L123,I123),EXACT(M123,H123),EXACT(M123,I123))</f>
        <v>0</v>
      </c>
      <c r="O123" s="52">
        <f>VLOOKUP(J123,review1,7,FALSE)</f>
        <v>46045</v>
      </c>
      <c r="P123" s="52" t="str">
        <f>VLOOKUP(J123,review1,8,FALSE)</f>
        <v>Fri</v>
      </c>
      <c r="Q123" s="47">
        <f>INT(MOD(J123/10,10))</f>
        <v>5</v>
      </c>
      <c r="R123" s="47" t="str">
        <f>VLOOKUP(J123,review1,9,FALSE)</f>
        <v>NVH G.05</v>
      </c>
      <c r="S123" s="47">
        <f>J123+4000</f>
        <v>7553</v>
      </c>
      <c r="T123" s="6">
        <v>7553</v>
      </c>
      <c r="U123" s="6">
        <f>COUNTIF(review2_code,T123)</f>
        <v>3</v>
      </c>
      <c r="V123" s="4" t="str">
        <f>VLOOKUP(T123,review2,10,FALSE)</f>
        <v>PhuongLHK</v>
      </c>
      <c r="W123" s="4" t="str">
        <f>VLOOKUP(T123,review2,11,FALSE)</f>
        <v>NhanDT35</v>
      </c>
      <c r="X123" s="4" t="b">
        <f>OR(EXACT(V123,H123),EXACT(V123,I123),EXACT(W123,H123),EXACT(W123,I123))</f>
        <v>0</v>
      </c>
      <c r="Y123" s="53">
        <f>VLOOKUP(T123,review2,7,FALSE)</f>
        <v>46086</v>
      </c>
      <c r="Z123" s="53" t="str">
        <f>VLOOKUP(T123,review2,8,FALSE)</f>
        <v>Thu</v>
      </c>
      <c r="AA123" s="47">
        <f>INT(MOD(T123/10,10))</f>
        <v>5</v>
      </c>
      <c r="AB123" s="47" t="e">
        <f>VLOOKUP(J123,review2,9,FALSE)</f>
        <v>#N/A</v>
      </c>
      <c r="AC123" s="47"/>
      <c r="AD123" s="6">
        <v>14321</v>
      </c>
      <c r="AE123" s="6">
        <f>COUNTIF(review3_code,AD123)</f>
        <v>3</v>
      </c>
      <c r="AF123" s="54" t="str">
        <f>VLOOKUP(AD123,review3,10,FALSE)</f>
        <v>TamPM</v>
      </c>
      <c r="AG123" s="54" t="str">
        <f>VLOOKUP(AD123,review3,11,FALSE)</f>
        <v>TriPT9</v>
      </c>
      <c r="AH123" s="47" t="b">
        <f>OR(EXACT(AF123,H123),EXACT(AF123,I123),EXACT(AG123,H123),EXACT(AG123,I123))</f>
        <v>0</v>
      </c>
      <c r="AI123" s="47" t="b">
        <f>OR(EXACT(AF123,V123),EXACT(AF123,W123),EXACT(AG123,V123),EXACT(AG123,W123))</f>
        <v>0</v>
      </c>
      <c r="AJ123" s="53">
        <f>VLOOKUP(AD123,review3,7,FALSE)</f>
        <v>46133</v>
      </c>
      <c r="AK123" s="53" t="str">
        <f>VLOOKUP(AD123,review3,8,FALSE)</f>
        <v>Tue</v>
      </c>
      <c r="AL123" s="47">
        <f>VLOOKUP(AD123,review3,4,FALSE)</f>
        <v>2</v>
      </c>
      <c r="AM123" s="47" t="str">
        <f>VLOOKUP(AD123,review3,9,FALSE)</f>
        <v>NVH.415</v>
      </c>
      <c r="AN123" s="55"/>
      <c r="AO123" t="s">
        <v>688</v>
      </c>
      <c r="AP123" s="56">
        <v>402</v>
      </c>
      <c r="AQ123" s="47" t="str">
        <f>VLOOKUP(AP123,defense1_list,7,FALSE)</f>
        <v>TaiNT51_ThongNT_TriPT9_MinhTTH5_TruongLV11</v>
      </c>
      <c r="AR123" s="57">
        <f>COUNTIF(defense1_forgroup_code,AP123)</f>
        <v>8</v>
      </c>
      <c r="AS123" s="4" t="b">
        <f>ISNUMBER(SEARCH(H123,AQ123))</f>
        <v>0</v>
      </c>
      <c r="AT123" s="4" t="b">
        <f>AND(NOT(ISBLANK(I123)),(ISNUMBER(SEARCH(I123,AQ123))))</f>
        <v>0</v>
      </c>
      <c r="AU123" s="4" t="b">
        <f>(IFERROR(SEARCH(AF123,AQ123),0)+IFERROR(SEARCH(AG123,AQ123),0))&gt;0</f>
        <v>1</v>
      </c>
      <c r="AV123" s="47"/>
      <c r="AW123" s="47"/>
      <c r="AX123" s="47"/>
      <c r="AY123" s="47"/>
      <c r="AZ123" s="128"/>
      <c r="BA123" s="47" t="e">
        <f>VLOOKUP(AZ123,defense2_list,7,FALSE)</f>
        <v>#N/A</v>
      </c>
      <c r="BB123" s="57">
        <f>COUNTIF(defense2_forgroup_code,AZ123)</f>
        <v>0</v>
      </c>
      <c r="BC123" s="4" t="b">
        <f>ISNUMBER(SEARCH(H123,BA123))</f>
        <v>0</v>
      </c>
      <c r="BD123" s="4" t="b">
        <f>AND(NOT(ISBLANK(I123)),(ISNUMBER(SEARCH(I123,AZ123))))</f>
        <v>0</v>
      </c>
      <c r="BE123" s="4"/>
      <c r="BF123" s="47"/>
      <c r="BG123" s="47"/>
    </row>
    <row r="124" spans="1:59" ht="15" thickBot="1" x14ac:dyDescent="0.4">
      <c r="A124" s="47">
        <v>33</v>
      </c>
      <c r="B124" s="48"/>
      <c r="C124" s="49" t="s">
        <v>392</v>
      </c>
      <c r="D124" s="58" t="s">
        <v>393</v>
      </c>
      <c r="E124" s="14" t="s">
        <v>394</v>
      </c>
      <c r="F124" s="14" t="s">
        <v>395</v>
      </c>
      <c r="G124" s="49" t="s">
        <v>91</v>
      </c>
      <c r="H124" s="50" t="s">
        <v>25</v>
      </c>
      <c r="I124" s="51"/>
      <c r="J124" s="6">
        <v>3554</v>
      </c>
      <c r="K124" s="6">
        <f>COUNTIF(review1_code,J124)</f>
        <v>3</v>
      </c>
      <c r="L124" s="4" t="str">
        <f>VLOOKUP(J124,review1,10,FALSE)</f>
        <v>TriPT9</v>
      </c>
      <c r="M124" s="4" t="str">
        <f>VLOOKUP(J124,review1,11,FALSE)</f>
        <v>LongT5</v>
      </c>
      <c r="N124" s="47" t="b">
        <f>OR(EXACT(L124,H124),EXACT(L124,I124),EXACT(M124,H124),EXACT(M124,I124))</f>
        <v>0</v>
      </c>
      <c r="O124" s="52">
        <f>VLOOKUP(J124,review1,7,FALSE)</f>
        <v>46045</v>
      </c>
      <c r="P124" s="52" t="str">
        <f>VLOOKUP(J124,review1,8,FALSE)</f>
        <v>Fri</v>
      </c>
      <c r="Q124" s="47">
        <f>INT(MOD(J124/10,10))</f>
        <v>5</v>
      </c>
      <c r="R124" s="47" t="str">
        <f>VLOOKUP(J124,review1,9,FALSE)</f>
        <v>NVH 421</v>
      </c>
      <c r="S124" s="47">
        <f>J124+4000</f>
        <v>7554</v>
      </c>
      <c r="T124" s="6">
        <v>7554</v>
      </c>
      <c r="U124" s="6">
        <f>COUNTIF(review2_code,T124)</f>
        <v>3</v>
      </c>
      <c r="V124" s="4" t="str">
        <f>VLOOKUP(T124,review2,10,FALSE)</f>
        <v>TriPT9</v>
      </c>
      <c r="W124" s="4" t="str">
        <f>VLOOKUP(T124,review2,11,FALSE)</f>
        <v>LongT5</v>
      </c>
      <c r="X124" s="4" t="b">
        <f>OR(EXACT(V124,H124),EXACT(V124,I124),EXACT(W124,H124),EXACT(W124,I124))</f>
        <v>0</v>
      </c>
      <c r="Y124" s="53">
        <f>VLOOKUP(T124,review2,7,FALSE)</f>
        <v>46086</v>
      </c>
      <c r="Z124" s="53" t="str">
        <f>VLOOKUP(T124,review2,8,FALSE)</f>
        <v>Thu</v>
      </c>
      <c r="AA124" s="47">
        <f>INT(MOD(T124/10,10))</f>
        <v>5</v>
      </c>
      <c r="AB124" s="47" t="e">
        <f>VLOOKUP(J124,review2,9,FALSE)</f>
        <v>#N/A</v>
      </c>
      <c r="AC124" s="47"/>
      <c r="AD124" s="6">
        <v>14531</v>
      </c>
      <c r="AE124" s="6">
        <f>COUNTIF(review3_code,AD124)</f>
        <v>3</v>
      </c>
      <c r="AF124" s="54" t="str">
        <f>VLOOKUP(AD124,review3,10,FALSE)</f>
        <v>DucDNM2</v>
      </c>
      <c r="AG124" s="54" t="str">
        <f>VLOOKUP(AD124,review3,11,FALSE)</f>
        <v>LamNN15</v>
      </c>
      <c r="AH124" s="47" t="b">
        <f>OR(EXACT(AF124,H124),EXACT(AF124,I124),EXACT(AG124,H124),EXACT(AG124,I124))</f>
        <v>0</v>
      </c>
      <c r="AI124" s="47" t="b">
        <f>OR(EXACT(AF124,V124),EXACT(AF124,W124),EXACT(AG124,V124),EXACT(AG124,W124))</f>
        <v>0</v>
      </c>
      <c r="AJ124" s="53">
        <f>VLOOKUP(AD124,review3,7,FALSE)</f>
        <v>46135</v>
      </c>
      <c r="AK124" s="53" t="str">
        <f>VLOOKUP(AD124,review3,8,FALSE)</f>
        <v>Thu</v>
      </c>
      <c r="AL124" s="47">
        <f>VLOOKUP(AD124,review3,4,FALSE)</f>
        <v>3</v>
      </c>
      <c r="AM124" s="47" t="str">
        <f>VLOOKUP(AD124,review3,9,FALSE)</f>
        <v>NVH.306</v>
      </c>
      <c r="AN124" s="55"/>
      <c r="AO124" t="s">
        <v>688</v>
      </c>
      <c r="AP124" s="98">
        <v>102</v>
      </c>
      <c r="AQ124" s="47" t="str">
        <f>VLOOKUP(AP124,defense1_list,7,FALSE)</f>
        <v>DucDNM2_NgocTTM4_HoangNT20_KiemHH_LamNN15</v>
      </c>
      <c r="AR124" s="57">
        <f>COUNTIF(defense1_forgroup_code,AP124)</f>
        <v>7</v>
      </c>
      <c r="AS124" s="4" t="b">
        <f>ISNUMBER(SEARCH(H124,AQ124))</f>
        <v>0</v>
      </c>
      <c r="AT124" s="4" t="b">
        <f>AND(NOT(ISBLANK(I124)),(ISNUMBER(SEARCH(I124,AQ124))))</f>
        <v>0</v>
      </c>
      <c r="AU124" s="4" t="b">
        <f>(IFERROR(SEARCH(AF124,AQ124),0)+IFERROR(SEARCH(AG124,AQ124),0))&gt;0</f>
        <v>1</v>
      </c>
      <c r="AV124" s="47"/>
      <c r="AW124" s="47"/>
      <c r="AX124" s="47"/>
      <c r="AY124" s="47"/>
      <c r="AZ124" s="128"/>
      <c r="BA124" s="47" t="e">
        <f>VLOOKUP(AZ124,defense2_list,7,FALSE)</f>
        <v>#N/A</v>
      </c>
      <c r="BB124" s="57">
        <f>COUNTIF(defense2_forgroup_code,AZ124)</f>
        <v>0</v>
      </c>
      <c r="BC124" s="4" t="b">
        <f>ISNUMBER(SEARCH(H124,BA124))</f>
        <v>0</v>
      </c>
      <c r="BD124" s="4" t="b">
        <f>AND(NOT(ISBLANK(I124)),(ISNUMBER(SEARCH(I124,AZ124))))</f>
        <v>0</v>
      </c>
      <c r="BE124" s="4"/>
      <c r="BF124" s="47"/>
      <c r="BG124" s="47"/>
    </row>
    <row r="125" spans="1:59" ht="15" thickBot="1" x14ac:dyDescent="0.4">
      <c r="A125" s="47">
        <v>24</v>
      </c>
      <c r="B125" s="48"/>
      <c r="C125" s="49" t="s">
        <v>396</v>
      </c>
      <c r="D125" s="58" t="s">
        <v>397</v>
      </c>
      <c r="E125" s="14" t="s">
        <v>621</v>
      </c>
      <c r="F125" s="14" t="s">
        <v>622</v>
      </c>
      <c r="G125" s="49" t="s">
        <v>539</v>
      </c>
      <c r="H125" s="50" t="s">
        <v>16</v>
      </c>
      <c r="I125" s="51"/>
      <c r="J125" s="6">
        <v>3611</v>
      </c>
      <c r="K125" s="6">
        <f>COUNTIF(review1_code,J125)</f>
        <v>3</v>
      </c>
      <c r="L125" s="4" t="str">
        <f>VLOOKUP(J125,review1,10,FALSE)</f>
        <v>HuongNTC2</v>
      </c>
      <c r="M125" s="4" t="str">
        <f>VLOOKUP(J125,review1,11,FALSE)</f>
        <v>TaiNT51</v>
      </c>
      <c r="N125" s="47" t="b">
        <f>OR(EXACT(L125,H125),EXACT(L125,I125),EXACT(M125,H125),EXACT(M125,I125))</f>
        <v>0</v>
      </c>
      <c r="O125" s="52">
        <f>VLOOKUP(J125,review1,7,FALSE)</f>
        <v>46046</v>
      </c>
      <c r="P125" s="52" t="str">
        <f>VLOOKUP(J125,review1,8,FALSE)</f>
        <v>Sat</v>
      </c>
      <c r="Q125" s="47">
        <f>INT(MOD(J125/10,10))</f>
        <v>1</v>
      </c>
      <c r="R125" s="47" t="str">
        <f>VLOOKUP(J125,review1,9,FALSE)</f>
        <v>NVH G.01</v>
      </c>
      <c r="S125" s="47">
        <f>J125+4000</f>
        <v>7611</v>
      </c>
      <c r="T125" s="6">
        <v>7611</v>
      </c>
      <c r="U125" s="6">
        <f>COUNTIF(review2_code,T125)</f>
        <v>3</v>
      </c>
      <c r="V125" s="4" t="str">
        <f>VLOOKUP(T125,review2,10,FALSE)</f>
        <v>HuongNTC2</v>
      </c>
      <c r="W125" s="4" t="str">
        <f>VLOOKUP(T125,review2,11,FALSE)</f>
        <v>TaiNT51</v>
      </c>
      <c r="X125" s="4" t="b">
        <f>OR(EXACT(V125,H125),EXACT(V125,I125),EXACT(W125,H125),EXACT(W125,I125))</f>
        <v>0</v>
      </c>
      <c r="Y125" s="53">
        <f>VLOOKUP(T125,review2,7,FALSE)</f>
        <v>46087</v>
      </c>
      <c r="Z125" s="53" t="str">
        <f>VLOOKUP(T125,review2,8,FALSE)</f>
        <v>Fri</v>
      </c>
      <c r="AA125" s="47">
        <f>INT(MOD(T125/10,10))</f>
        <v>1</v>
      </c>
      <c r="AB125" s="47" t="e">
        <f>VLOOKUP(J125,review2,9,FALSE)</f>
        <v>#N/A</v>
      </c>
      <c r="AC125" s="47"/>
      <c r="AD125" s="6">
        <v>14422</v>
      </c>
      <c r="AE125" s="6">
        <f>COUNTIF(review3_code,AD125)</f>
        <v>3</v>
      </c>
      <c r="AF125" s="54" t="str">
        <f>VLOOKUP(AD125,review3,10,FALSE)</f>
        <v>PhuongLHK</v>
      </c>
      <c r="AG125" s="54" t="str">
        <f>VLOOKUP(AD125,review3,11,FALSE)</f>
        <v>VuLNS</v>
      </c>
      <c r="AH125" s="47" t="b">
        <f>OR(EXACT(AF125,H125),EXACT(AF125,I125),EXACT(AG125,H125),EXACT(AG125,I125))</f>
        <v>0</v>
      </c>
      <c r="AI125" s="47" t="b">
        <f>OR(EXACT(AF125,V125),EXACT(AF125,W125),EXACT(AG125,V125),EXACT(AG125,W125))</f>
        <v>0</v>
      </c>
      <c r="AJ125" s="53">
        <f>VLOOKUP(AD125,review3,7,FALSE)</f>
        <v>46134</v>
      </c>
      <c r="AK125" s="53" t="str">
        <f>VLOOKUP(AD125,review3,8,FALSE)</f>
        <v>Wed</v>
      </c>
      <c r="AL125" s="47">
        <f>VLOOKUP(AD125,review3,4,FALSE)</f>
        <v>2</v>
      </c>
      <c r="AM125" s="47" t="str">
        <f>VLOOKUP(AD125,review3,9,FALSE)</f>
        <v>NVH.301</v>
      </c>
      <c r="AN125" s="55"/>
      <c r="AO125" t="s">
        <v>688</v>
      </c>
      <c r="AP125" s="56">
        <v>104</v>
      </c>
      <c r="AQ125" s="47" t="str">
        <f>VLOOKUP(AP125,defense1_list,7,FALSE)</f>
        <v>PhuongLHK_NguyenTT15_NhanDT35_TriPT9_ThinhDP2</v>
      </c>
      <c r="AR125" s="57">
        <f>COUNTIF(defense1_forgroup_code,AP125)</f>
        <v>7</v>
      </c>
      <c r="AS125" s="4" t="b">
        <f>ISNUMBER(SEARCH(H125,AQ125))</f>
        <v>0</v>
      </c>
      <c r="AT125" s="4" t="b">
        <f>AND(NOT(ISBLANK(I125)),(ISNUMBER(SEARCH(I125,AQ125))))</f>
        <v>0</v>
      </c>
      <c r="AU125" s="4" t="b">
        <f>(IFERROR(SEARCH(AF125,AQ125),0)+IFERROR(SEARCH(AG125,AQ125),0))&gt;0</f>
        <v>1</v>
      </c>
      <c r="AV125" s="47"/>
      <c r="AW125" s="47"/>
      <c r="AX125" s="47"/>
      <c r="AY125" s="47"/>
      <c r="AZ125" s="128"/>
      <c r="BA125" s="47" t="e">
        <f>VLOOKUP(AZ125,defense2_list,7,FALSE)</f>
        <v>#N/A</v>
      </c>
      <c r="BB125" s="57">
        <f>COUNTIF(defense2_forgroup_code,AZ125)</f>
        <v>0</v>
      </c>
      <c r="BC125" s="4" t="b">
        <f>ISNUMBER(SEARCH(H125,BA125))</f>
        <v>0</v>
      </c>
      <c r="BD125" s="4" t="b">
        <f>AND(NOT(ISBLANK(I125)),(ISNUMBER(SEARCH(I125,AZ125))))</f>
        <v>0</v>
      </c>
      <c r="BE125" s="4"/>
      <c r="BF125" s="47"/>
      <c r="BG125" s="47"/>
    </row>
    <row r="126" spans="1:59" ht="29.5" thickBot="1" x14ac:dyDescent="0.4">
      <c r="A126" s="47">
        <v>5</v>
      </c>
      <c r="B126" s="48"/>
      <c r="C126" s="49" t="s">
        <v>410</v>
      </c>
      <c r="D126" s="58" t="s">
        <v>411</v>
      </c>
      <c r="E126" s="14" t="s">
        <v>412</v>
      </c>
      <c r="F126" s="14" t="s">
        <v>413</v>
      </c>
      <c r="G126" s="49" t="s">
        <v>623</v>
      </c>
      <c r="H126" s="50" t="s">
        <v>14</v>
      </c>
      <c r="I126" s="51" t="s">
        <v>77</v>
      </c>
      <c r="J126" s="6">
        <v>3642</v>
      </c>
      <c r="K126" s="6">
        <f>COUNTIF(review1_code,J126)</f>
        <v>3</v>
      </c>
      <c r="L126" s="4" t="str">
        <f>VLOOKUP(J126,review1,10,FALSE)</f>
        <v>HuongNTC2</v>
      </c>
      <c r="M126" s="4" t="str">
        <f>VLOOKUP(J126,review1,11,FALSE)</f>
        <v>TamPM</v>
      </c>
      <c r="N126" s="47" t="b">
        <f>OR(EXACT(L126,H126),EXACT(L126,I126),EXACT(M126,H126),EXACT(M126,I126))</f>
        <v>0</v>
      </c>
      <c r="O126" s="52">
        <f>VLOOKUP(J126,review1,7,FALSE)</f>
        <v>46046</v>
      </c>
      <c r="P126" s="52" t="str">
        <f>VLOOKUP(J126,review1,8,FALSE)</f>
        <v>Sat</v>
      </c>
      <c r="Q126" s="47">
        <f>INT(MOD(J126/10,10))</f>
        <v>4</v>
      </c>
      <c r="R126" s="47" t="str">
        <f>VLOOKUP(J126,review1,9,FALSE)</f>
        <v>NVH G.01</v>
      </c>
      <c r="S126" s="47">
        <f>J126+4000</f>
        <v>7642</v>
      </c>
      <c r="T126" s="6">
        <v>7642</v>
      </c>
      <c r="U126" s="6">
        <f>COUNTIF(review2_code,T126)</f>
        <v>3</v>
      </c>
      <c r="V126" s="4" t="str">
        <f>VLOOKUP(T126,review2,10,FALSE)</f>
        <v>HuongNTC2</v>
      </c>
      <c r="W126" s="4" t="str">
        <f>VLOOKUP(T126,review2,11,FALSE)</f>
        <v>TamPM</v>
      </c>
      <c r="X126" s="4" t="b">
        <f>OR(EXACT(V126,H126),EXACT(V126,I126),EXACT(W126,H126),EXACT(W126,I126))</f>
        <v>0</v>
      </c>
      <c r="Y126" s="53">
        <f>VLOOKUP(T126,review2,7,FALSE)</f>
        <v>46087</v>
      </c>
      <c r="Z126" s="53" t="str">
        <f>VLOOKUP(T126,review2,8,FALSE)</f>
        <v>Fri</v>
      </c>
      <c r="AA126" s="47">
        <f>INT(MOD(T126/10,10))</f>
        <v>4</v>
      </c>
      <c r="AB126" s="47" t="e">
        <f>VLOOKUP(J126,review2,9,FALSE)</f>
        <v>#N/A</v>
      </c>
      <c r="AC126" s="47"/>
      <c r="AD126" s="6">
        <v>14432</v>
      </c>
      <c r="AE126" s="6">
        <f>COUNTIF(review3_code,AD126)</f>
        <v>3</v>
      </c>
      <c r="AF126" s="54" t="str">
        <f>VLOOKUP(AD126,review3,10,FALSE)</f>
        <v>HoangNT20</v>
      </c>
      <c r="AG126" s="54" t="str">
        <f>VLOOKUP(AD126,review3,11,FALSE)</f>
        <v>NhanDT35</v>
      </c>
      <c r="AH126" s="47" t="b">
        <f>OR(EXACT(AF126,H126),EXACT(AF126,I126),EXACT(AG126,H126),EXACT(AG126,I126))</f>
        <v>0</v>
      </c>
      <c r="AI126" s="47" t="b">
        <f>OR(EXACT(AF126,V126),EXACT(AF126,W126),EXACT(AG126,V126),EXACT(AG126,W126))</f>
        <v>0</v>
      </c>
      <c r="AJ126" s="53">
        <f>VLOOKUP(AD126,review3,7,FALSE)</f>
        <v>46134</v>
      </c>
      <c r="AK126" s="53" t="str">
        <f>VLOOKUP(AD126,review3,8,FALSE)</f>
        <v>Wed</v>
      </c>
      <c r="AL126" s="47">
        <f>VLOOKUP(AD126,review3,4,FALSE)</f>
        <v>3</v>
      </c>
      <c r="AM126" s="47" t="str">
        <f>VLOOKUP(AD126,review3,9,FALSE)</f>
        <v>NVH.306</v>
      </c>
      <c r="AN126" s="55"/>
      <c r="AO126" t="s">
        <v>688</v>
      </c>
      <c r="AP126" s="98">
        <v>203</v>
      </c>
      <c r="AQ126" s="47" t="str">
        <f>VLOOKUP(AP126,defense1_list,7,FALSE)</f>
        <v>DucDNM2_HungLD5_NhanDT35_TriPT9_LamNN15</v>
      </c>
      <c r="AR126" s="57">
        <f>COUNTIF(defense1_forgroup_code,AP126)</f>
        <v>7</v>
      </c>
      <c r="AS126" s="4" t="b">
        <f>ISNUMBER(SEARCH(H126,AQ126))</f>
        <v>0</v>
      </c>
      <c r="AT126" s="4" t="b">
        <f>AND(NOT(ISBLANK(I126)),(ISNUMBER(SEARCH(I126,AQ126))))</f>
        <v>0</v>
      </c>
      <c r="AU126" s="4" t="b">
        <f>(IFERROR(SEARCH(AF126,AQ126),0)+IFERROR(SEARCH(AG126,AQ126),0))&gt;0</f>
        <v>1</v>
      </c>
      <c r="AV126" s="47"/>
      <c r="AW126" s="47"/>
      <c r="AX126" s="47"/>
      <c r="AY126" s="47"/>
      <c r="AZ126" s="128"/>
      <c r="BA126" s="47" t="e">
        <f>VLOOKUP(AZ126,defense2_list,7,FALSE)</f>
        <v>#N/A</v>
      </c>
      <c r="BB126" s="57">
        <f>COUNTIF(defense2_forgroup_code,AZ126)</f>
        <v>0</v>
      </c>
      <c r="BC126" s="4" t="b">
        <f>ISNUMBER(SEARCH(H126,BA126))</f>
        <v>0</v>
      </c>
      <c r="BD126" s="4" t="b">
        <f>AND(NOT(ISBLANK(I126)),(ISNUMBER(SEARCH(I126,AZ126))))</f>
        <v>0</v>
      </c>
      <c r="BE126" s="4"/>
      <c r="BF126" s="47"/>
      <c r="BG126" s="47"/>
    </row>
    <row r="127" spans="1:59" ht="15" thickBot="1" x14ac:dyDescent="0.4">
      <c r="A127" s="47">
        <v>79</v>
      </c>
      <c r="B127" s="48"/>
      <c r="C127" s="75" t="s">
        <v>655</v>
      </c>
      <c r="D127" s="58" t="s">
        <v>654</v>
      </c>
      <c r="E127" s="77" t="s">
        <v>656</v>
      </c>
      <c r="F127" s="77" t="s">
        <v>657</v>
      </c>
      <c r="G127" s="49" t="s">
        <v>658</v>
      </c>
      <c r="H127" s="50" t="s">
        <v>14</v>
      </c>
      <c r="I127" s="51"/>
      <c r="J127" s="6">
        <v>3613</v>
      </c>
      <c r="K127" s="6">
        <f>COUNTIF(review1_code,J127)</f>
        <v>3</v>
      </c>
      <c r="L127" s="4" t="str">
        <f>VLOOKUP(J127,review1,10,FALSE)</f>
        <v>NhanDT35</v>
      </c>
      <c r="M127" s="4" t="str">
        <f>VLOOKUP(J127,review1,11,FALSE)</f>
        <v>VuLNS</v>
      </c>
      <c r="N127" s="47" t="b">
        <f>OR(EXACT(L127,H127),EXACT(L127,I127),EXACT(M127,H127),EXACT(M127,I127))</f>
        <v>0</v>
      </c>
      <c r="O127" s="52">
        <f>VLOOKUP(J127,review1,7,FALSE)</f>
        <v>46046</v>
      </c>
      <c r="P127" s="52" t="str">
        <f>VLOOKUP(J127,review1,8,FALSE)</f>
        <v>Sat</v>
      </c>
      <c r="Q127" s="47">
        <f>INT(MOD(J127/10,10))</f>
        <v>1</v>
      </c>
      <c r="R127" s="47" t="str">
        <f>VLOOKUP(J127,review1,9,FALSE)</f>
        <v>NVH 420</v>
      </c>
      <c r="S127" s="47">
        <f>J127+4000</f>
        <v>7613</v>
      </c>
      <c r="T127" s="6">
        <v>7613</v>
      </c>
      <c r="U127" s="6">
        <f>COUNTIF(review2_code,T127)</f>
        <v>3</v>
      </c>
      <c r="V127" s="4" t="str">
        <f>VLOOKUP(T127,review2,10,FALSE)</f>
        <v>NhanDT35</v>
      </c>
      <c r="W127" s="4" t="str">
        <f>VLOOKUP(T127,review2,11,FALSE)</f>
        <v>VuLNS</v>
      </c>
      <c r="X127" s="4" t="b">
        <f>OR(EXACT(V127,H127),EXACT(V127,I127),EXACT(W127,H127),EXACT(W127,I127))</f>
        <v>0</v>
      </c>
      <c r="Y127" s="53">
        <f>VLOOKUP(T127,review2,7,FALSE)</f>
        <v>46087</v>
      </c>
      <c r="Z127" s="53" t="str">
        <f>VLOOKUP(T127,review2,8,FALSE)</f>
        <v>Fri</v>
      </c>
      <c r="AA127" s="47">
        <f>INT(MOD(T127/10,10))</f>
        <v>1</v>
      </c>
      <c r="AB127" s="47" t="e">
        <f>VLOOKUP(J127,review2,9,FALSE)</f>
        <v>#N/A</v>
      </c>
      <c r="AC127" s="47"/>
      <c r="AD127" s="6">
        <v>14542</v>
      </c>
      <c r="AE127" s="6">
        <f>COUNTIF(review3_code,AD127)</f>
        <v>3</v>
      </c>
      <c r="AF127" s="54" t="str">
        <f>VLOOKUP(AD127,review3,10,FALSE)</f>
        <v>HuongNTC2</v>
      </c>
      <c r="AG127" s="54" t="str">
        <f>VLOOKUP(AD127,review3,11,FALSE)</f>
        <v>HoangNT20</v>
      </c>
      <c r="AH127" s="47" t="b">
        <f>OR(EXACT(AF127,H127),EXACT(AF127,I127),EXACT(AG127,H127),EXACT(AG127,I127))</f>
        <v>0</v>
      </c>
      <c r="AI127" s="47" t="b">
        <f>OR(EXACT(AF127,V127),EXACT(AF127,W127),EXACT(AG127,V127),EXACT(AG127,W127))</f>
        <v>0</v>
      </c>
      <c r="AJ127" s="53">
        <f>VLOOKUP(AD127,review3,7,FALSE)</f>
        <v>46135</v>
      </c>
      <c r="AK127" s="53" t="str">
        <f>VLOOKUP(AD127,review3,8,FALSE)</f>
        <v>Thu</v>
      </c>
      <c r="AL127" s="47">
        <f>VLOOKUP(AD127,review3,4,FALSE)</f>
        <v>4</v>
      </c>
      <c r="AM127" s="47" t="str">
        <f>VLOOKUP(AD127,review3,9,FALSE)</f>
        <v>NVH.414</v>
      </c>
      <c r="AN127" s="55"/>
      <c r="AO127" t="s">
        <v>688</v>
      </c>
      <c r="AP127" s="56">
        <v>201</v>
      </c>
      <c r="AQ127" s="47" t="str">
        <f>VLOOKUP(AP127,defense1_list,7,FALSE)</f>
        <v>HuongNTC2_QuynhTNN4_KiemHH_NguHCV_TamPM</v>
      </c>
      <c r="AR127" s="57">
        <f>COUNTIF(defense1_forgroup_code,AP127)</f>
        <v>7</v>
      </c>
      <c r="AS127" s="4" t="b">
        <f>ISNUMBER(SEARCH(H127,AQ127))</f>
        <v>0</v>
      </c>
      <c r="AT127" s="4" t="b">
        <f>AND(NOT(ISBLANK(I127)),(ISNUMBER(SEARCH(I127,AQ127))))</f>
        <v>0</v>
      </c>
      <c r="AU127" s="4" t="b">
        <f>(IFERROR(SEARCH(AF127,AQ127),0)+IFERROR(SEARCH(AG127,AQ127),0))&gt;0</f>
        <v>1</v>
      </c>
      <c r="AV127" s="47"/>
      <c r="AW127" s="47"/>
      <c r="AX127" s="47"/>
      <c r="AY127" s="47"/>
      <c r="AZ127" s="128"/>
      <c r="BA127" s="47" t="e">
        <f>VLOOKUP(AZ127,defense2_list,7,FALSE)</f>
        <v>#N/A</v>
      </c>
      <c r="BB127" s="57">
        <f>COUNTIF(defense2_forgroup_code,AZ127)</f>
        <v>0</v>
      </c>
      <c r="BC127" s="4" t="b">
        <f>ISNUMBER(SEARCH(H127,BA127))</f>
        <v>0</v>
      </c>
      <c r="BD127" s="4" t="b">
        <f>AND(NOT(ISBLANK(I127)),(ISNUMBER(SEARCH(I127,AZ127))))</f>
        <v>0</v>
      </c>
      <c r="BE127" s="4"/>
      <c r="BF127" s="47"/>
      <c r="BG127" s="47"/>
    </row>
    <row r="128" spans="1:59" ht="15" thickBot="1" x14ac:dyDescent="0.4">
      <c r="A128" s="47">
        <v>127</v>
      </c>
      <c r="B128" s="48"/>
      <c r="C128" s="49" t="s">
        <v>433</v>
      </c>
      <c r="D128" s="58" t="s">
        <v>434</v>
      </c>
      <c r="E128" s="14" t="s">
        <v>435</v>
      </c>
      <c r="F128" s="14" t="s">
        <v>436</v>
      </c>
      <c r="G128" s="49" t="s">
        <v>87</v>
      </c>
      <c r="H128" s="50" t="s">
        <v>88</v>
      </c>
      <c r="I128" s="51"/>
      <c r="J128" s="6">
        <v>4141</v>
      </c>
      <c r="K128" s="6">
        <f>COUNTIF(review1_code,J128)</f>
        <v>3</v>
      </c>
      <c r="L128" s="4" t="str">
        <f>VLOOKUP(J128,review1,10,FALSE)</f>
        <v>NhanDT35</v>
      </c>
      <c r="M128" s="4" t="str">
        <f>VLOOKUP(J128,review1,11,FALSE)</f>
        <v>LongT5</v>
      </c>
      <c r="N128" s="47" t="b">
        <f>OR(EXACT(L128,H128),EXACT(L128,I128),EXACT(M128,H128),EXACT(M128,I128))</f>
        <v>0</v>
      </c>
      <c r="O128" s="52">
        <f>VLOOKUP(J128,review1,7,FALSE)</f>
        <v>46048</v>
      </c>
      <c r="P128" s="52" t="str">
        <f>VLOOKUP(J128,review1,8,FALSE)</f>
        <v>Mon</v>
      </c>
      <c r="Q128" s="47">
        <f>INT(MOD(J128/10,10))</f>
        <v>4</v>
      </c>
      <c r="R128" s="47" t="str">
        <f>VLOOKUP(J128,review1,9,FALSE)</f>
        <v>NVH G.01</v>
      </c>
      <c r="S128" s="47">
        <f>J128+4000</f>
        <v>8141</v>
      </c>
      <c r="T128" s="6">
        <v>8141</v>
      </c>
      <c r="U128" s="6">
        <f>COUNTIF(review2_code,T128)</f>
        <v>3</v>
      </c>
      <c r="V128" s="4" t="str">
        <f>VLOOKUP(T128,review2,10,FALSE)</f>
        <v>NhanDT35</v>
      </c>
      <c r="W128" s="4" t="str">
        <f>VLOOKUP(T128,review2,11,FALSE)</f>
        <v>LongT5</v>
      </c>
      <c r="X128" s="4" t="b">
        <f>OR(EXACT(V128,H128),EXACT(V128,I128),EXACT(W128,H128),EXACT(W128,I128))</f>
        <v>0</v>
      </c>
      <c r="Y128" s="53">
        <f>VLOOKUP(T128,review2,7,FALSE)</f>
        <v>46089</v>
      </c>
      <c r="Z128" s="53" t="str">
        <f>VLOOKUP(T128,review2,8,FALSE)</f>
        <v>Sun</v>
      </c>
      <c r="AA128" s="47">
        <f>INT(MOD(T128/10,10))</f>
        <v>4</v>
      </c>
      <c r="AB128" s="47" t="e">
        <f>VLOOKUP(J128,review2,9,FALSE)</f>
        <v>#N/A</v>
      </c>
      <c r="AC128" s="47"/>
      <c r="AD128" s="6">
        <v>14421</v>
      </c>
      <c r="AE128" s="6">
        <f>COUNTIF(review3_code,AD128)</f>
        <v>3</v>
      </c>
      <c r="AF128" s="54" t="str">
        <f>VLOOKUP(AD128,review3,10,FALSE)</f>
        <v>TaiNT51</v>
      </c>
      <c r="AG128" s="54" t="str">
        <f>VLOOKUP(AD128,review3,11,FALSE)</f>
        <v>VanTTN2</v>
      </c>
      <c r="AH128" s="47" t="b">
        <f>OR(EXACT(AF128,H128),EXACT(AF128,I128),EXACT(AG128,H128),EXACT(AG128,I128))</f>
        <v>0</v>
      </c>
      <c r="AI128" s="47" t="b">
        <f>OR(EXACT(AF128,V128),EXACT(AF128,W128),EXACT(AG128,V128),EXACT(AG128,W128))</f>
        <v>0</v>
      </c>
      <c r="AJ128" s="53">
        <f>VLOOKUP(AD128,review3,7,FALSE)</f>
        <v>46134</v>
      </c>
      <c r="AK128" s="53" t="str">
        <f>VLOOKUP(AD128,review3,8,FALSE)</f>
        <v>Wed</v>
      </c>
      <c r="AL128" s="47">
        <f>VLOOKUP(AD128,review3,4,FALSE)</f>
        <v>2</v>
      </c>
      <c r="AM128" s="47" t="str">
        <f>VLOOKUP(AD128,review3,9,FALSE)</f>
        <v>NVH.415</v>
      </c>
      <c r="AN128" s="55"/>
      <c r="AO128" t="s">
        <v>688</v>
      </c>
      <c r="AP128" s="123">
        <v>402</v>
      </c>
      <c r="AQ128" s="106" t="str">
        <f>VLOOKUP(AP128,defense1_list,7,FALSE)</f>
        <v>TaiNT51_ThongNT_TriPT9_MinhTTH5_TruongLV11</v>
      </c>
      <c r="AR128" s="57">
        <f>COUNTIF(defense1_forgroup_code,AP128)</f>
        <v>8</v>
      </c>
      <c r="AS128" s="4" t="b">
        <f>ISNUMBER(SEARCH(H128,AQ128))</f>
        <v>0</v>
      </c>
      <c r="AT128" s="4" t="b">
        <f>AND(NOT(ISBLANK(I128)),(ISNUMBER(SEARCH(I128,AQ128))))</f>
        <v>0</v>
      </c>
      <c r="AU128" s="4" t="b">
        <f>(IFERROR(SEARCH(AF128,AQ128),0)+IFERROR(SEARCH(AG128,AQ128),0))&gt;0</f>
        <v>1</v>
      </c>
      <c r="AV128" s="47"/>
      <c r="AW128" s="47"/>
      <c r="AX128" s="47"/>
      <c r="AY128" s="47"/>
      <c r="AZ128" s="128"/>
      <c r="BA128" s="47" t="e">
        <f>VLOOKUP(AZ128,defense2_list,7,FALSE)</f>
        <v>#N/A</v>
      </c>
      <c r="BB128" s="57">
        <f>COUNTIF(defense2_forgroup_code,AZ128)</f>
        <v>0</v>
      </c>
      <c r="BC128" s="4" t="b">
        <f>ISNUMBER(SEARCH(H128,BA128))</f>
        <v>0</v>
      </c>
      <c r="BD128" s="4" t="b">
        <f>AND(NOT(ISBLANK(I128)),(ISNUMBER(SEARCH(I128,AZ128))))</f>
        <v>0</v>
      </c>
      <c r="BE128" s="4"/>
      <c r="BF128" s="47"/>
      <c r="BG128" s="47"/>
    </row>
    <row r="129" spans="1:59" ht="15" thickBot="1" x14ac:dyDescent="0.4">
      <c r="A129" s="47">
        <v>107</v>
      </c>
      <c r="B129" s="48"/>
      <c r="C129" s="49" t="s">
        <v>437</v>
      </c>
      <c r="D129" s="58" t="s">
        <v>438</v>
      </c>
      <c r="E129" s="14" t="s">
        <v>439</v>
      </c>
      <c r="F129" s="14" t="s">
        <v>440</v>
      </c>
      <c r="G129" s="49" t="s">
        <v>91</v>
      </c>
      <c r="H129" s="50" t="s">
        <v>25</v>
      </c>
      <c r="I129" s="51"/>
      <c r="J129" s="6">
        <v>4151</v>
      </c>
      <c r="K129" s="6">
        <f>COUNTIF(review1_code,J129)</f>
        <v>3</v>
      </c>
      <c r="L129" s="4" t="str">
        <f>VLOOKUP(J129,review1,10,FALSE)</f>
        <v>NhanDT35</v>
      </c>
      <c r="M129" s="4" t="str">
        <f>VLOOKUP(J129,review1,11,FALSE)</f>
        <v>LongT5</v>
      </c>
      <c r="N129" s="47" t="b">
        <f>OR(EXACT(L129,H129),EXACT(L129,I129),EXACT(M129,H129),EXACT(M129,I129))</f>
        <v>0</v>
      </c>
      <c r="O129" s="52">
        <f>VLOOKUP(J129,review1,7,FALSE)</f>
        <v>46048</v>
      </c>
      <c r="P129" s="52" t="str">
        <f>VLOOKUP(J129,review1,8,FALSE)</f>
        <v>Mon</v>
      </c>
      <c r="Q129" s="47">
        <f>INT(MOD(J129/10,10))</f>
        <v>5</v>
      </c>
      <c r="R129" s="47" t="str">
        <f>VLOOKUP(J129,review1,9,FALSE)</f>
        <v>NVH G.01</v>
      </c>
      <c r="S129" s="47">
        <f>J129+4000</f>
        <v>8151</v>
      </c>
      <c r="T129" s="6">
        <v>8151</v>
      </c>
      <c r="U129" s="6">
        <f>COUNTIF(review2_code,T129)</f>
        <v>3</v>
      </c>
      <c r="V129" s="4" t="str">
        <f>VLOOKUP(T129,review2,10,FALSE)</f>
        <v>NhanDT35</v>
      </c>
      <c r="W129" s="4" t="str">
        <f>VLOOKUP(T129,review2,11,FALSE)</f>
        <v>LongT5</v>
      </c>
      <c r="X129" s="4" t="b">
        <f>OR(EXACT(V129,H129),EXACT(V129,I129),EXACT(W129,H129),EXACT(W129,I129))</f>
        <v>0</v>
      </c>
      <c r="Y129" s="53">
        <f>VLOOKUP(T129,review2,7,FALSE)</f>
        <v>46089</v>
      </c>
      <c r="Z129" s="53" t="str">
        <f>VLOOKUP(T129,review2,8,FALSE)</f>
        <v>Sun</v>
      </c>
      <c r="AA129" s="47">
        <f>INT(MOD(T129/10,10))</f>
        <v>5</v>
      </c>
      <c r="AB129" s="47" t="e">
        <f>VLOOKUP(J129,review2,9,FALSE)</f>
        <v>#N/A</v>
      </c>
      <c r="AC129" s="47"/>
      <c r="AD129" s="6">
        <v>14421</v>
      </c>
      <c r="AE129" s="6">
        <f>COUNTIF(review3_code,AD129)</f>
        <v>3</v>
      </c>
      <c r="AF129" s="54" t="str">
        <f>VLOOKUP(AD129,review3,10,FALSE)</f>
        <v>TaiNT51</v>
      </c>
      <c r="AG129" s="54" t="str">
        <f>VLOOKUP(AD129,review3,11,FALSE)</f>
        <v>VanTTN2</v>
      </c>
      <c r="AH129" s="47" t="b">
        <f>OR(EXACT(AF129,H129),EXACT(AF129,I129),EXACT(AG129,H129),EXACT(AG129,I129))</f>
        <v>0</v>
      </c>
      <c r="AI129" s="47" t="b">
        <f>OR(EXACT(AF129,V129),EXACT(AF129,W129),EXACT(AG129,V129),EXACT(AG129,W129))</f>
        <v>0</v>
      </c>
      <c r="AJ129" s="53">
        <f>VLOOKUP(AD129,review3,7,FALSE)</f>
        <v>46134</v>
      </c>
      <c r="AK129" s="53" t="str">
        <f>VLOOKUP(AD129,review3,8,FALSE)</f>
        <v>Wed</v>
      </c>
      <c r="AL129" s="47">
        <f>VLOOKUP(AD129,review3,4,FALSE)</f>
        <v>2</v>
      </c>
      <c r="AM129" s="47" t="str">
        <f>VLOOKUP(AD129,review3,9,FALSE)</f>
        <v>NVH.415</v>
      </c>
      <c r="AN129" s="55"/>
      <c r="AO129" t="s">
        <v>688</v>
      </c>
      <c r="AP129" s="124">
        <v>101</v>
      </c>
      <c r="AQ129" s="106" t="str">
        <f>VLOOKUP(AP129,defense1_list,7,FALSE)</f>
        <v>HuongNTC2_HungLD5_SangNM18_VanTTN2_AnNDH2</v>
      </c>
      <c r="AR129" s="57">
        <f>COUNTIF(defense1_forgroup_code,AP129)</f>
        <v>8</v>
      </c>
      <c r="AS129" s="4" t="b">
        <f>ISNUMBER(SEARCH(H129,AQ129))</f>
        <v>0</v>
      </c>
      <c r="AT129" s="4" t="b">
        <f>AND(NOT(ISBLANK(I129)),(ISNUMBER(SEARCH(I129,AQ129))))</f>
        <v>0</v>
      </c>
      <c r="AU129" s="4" t="b">
        <f>(IFERROR(SEARCH(AF129,AQ129),0)+IFERROR(SEARCH(AG129,AQ129),0))&gt;0</f>
        <v>1</v>
      </c>
      <c r="AV129" s="47"/>
      <c r="AW129" s="47"/>
      <c r="AX129" s="47"/>
      <c r="AY129" s="47"/>
      <c r="AZ129" s="128"/>
      <c r="BA129" s="47" t="e">
        <f>VLOOKUP(AZ129,defense2_list,7,FALSE)</f>
        <v>#N/A</v>
      </c>
      <c r="BB129" s="57">
        <f>COUNTIF(defense2_forgroup_code,AZ129)</f>
        <v>0</v>
      </c>
      <c r="BC129" s="4" t="b">
        <f>ISNUMBER(SEARCH(H129,BA129))</f>
        <v>0</v>
      </c>
      <c r="BD129" s="4" t="b">
        <f>AND(NOT(ISBLANK(I129)),(ISNUMBER(SEARCH(I129,AZ129))))</f>
        <v>0</v>
      </c>
      <c r="BE129" s="4"/>
      <c r="BF129" s="47"/>
      <c r="BG129" s="47"/>
    </row>
    <row r="130" spans="1:59" ht="15" thickBot="1" x14ac:dyDescent="0.4">
      <c r="A130" s="47">
        <v>123</v>
      </c>
      <c r="B130" s="48"/>
      <c r="C130" s="49" t="s">
        <v>448</v>
      </c>
      <c r="D130" s="58" t="s">
        <v>449</v>
      </c>
      <c r="E130" s="14" t="s">
        <v>450</v>
      </c>
      <c r="F130" s="14" t="s">
        <v>451</v>
      </c>
      <c r="G130" s="49" t="s">
        <v>626</v>
      </c>
      <c r="H130" s="50" t="s">
        <v>651</v>
      </c>
      <c r="I130" s="51"/>
      <c r="J130" s="6">
        <v>4231</v>
      </c>
      <c r="K130" s="6">
        <f>COUNTIF(review1_code,J130)</f>
        <v>3</v>
      </c>
      <c r="L130" s="4" t="str">
        <f>VLOOKUP(J130,review1,10,FALSE)</f>
        <v>PhuongLHK</v>
      </c>
      <c r="M130" s="4" t="str">
        <f>VLOOKUP(J130,review1,11,FALSE)</f>
        <v>MinhTTH5</v>
      </c>
      <c r="N130" s="47" t="b">
        <f>OR(EXACT(L130,H130),EXACT(L130,I130),EXACT(M130,H130),EXACT(M130,I130))</f>
        <v>0</v>
      </c>
      <c r="O130" s="52">
        <f>VLOOKUP(J130,review1,7,FALSE)</f>
        <v>46049</v>
      </c>
      <c r="P130" s="52" t="str">
        <f>VLOOKUP(J130,review1,8,FALSE)</f>
        <v>Tue</v>
      </c>
      <c r="Q130" s="47">
        <f>INT(MOD(J130/10,10))</f>
        <v>3</v>
      </c>
      <c r="R130" s="47" t="str">
        <f>VLOOKUP(J130,review1,9,FALSE)</f>
        <v>NVH G.01</v>
      </c>
      <c r="S130" s="47">
        <f>J130+4000</f>
        <v>8231</v>
      </c>
      <c r="T130" s="6">
        <v>8231</v>
      </c>
      <c r="U130" s="6">
        <f>COUNTIF(review2_code,T130)</f>
        <v>3</v>
      </c>
      <c r="V130" s="4" t="str">
        <f>VLOOKUP(T130,review2,10,FALSE)</f>
        <v>PhuongLHK</v>
      </c>
      <c r="W130" s="4" t="str">
        <f>VLOOKUP(T130,review2,11,FALSE)</f>
        <v>MinhTTH5</v>
      </c>
      <c r="X130" s="4" t="b">
        <f>OR(EXACT(V130,H130),EXACT(V130,I130),EXACT(W130,H130),EXACT(W130,I130))</f>
        <v>0</v>
      </c>
      <c r="Y130" s="53">
        <f>VLOOKUP(T130,review2,7,FALSE)</f>
        <v>46090</v>
      </c>
      <c r="Z130" s="53" t="str">
        <f>VLOOKUP(T130,review2,8,FALSE)</f>
        <v>Mon</v>
      </c>
      <c r="AA130" s="47">
        <f>INT(MOD(T130/10,10))</f>
        <v>3</v>
      </c>
      <c r="AB130" s="47" t="e">
        <f>VLOOKUP(J130,review2,9,FALSE)</f>
        <v>#N/A</v>
      </c>
      <c r="AC130" s="47"/>
      <c r="AD130" s="6">
        <v>14611</v>
      </c>
      <c r="AE130" s="6">
        <f>COUNTIF(review3_code,AD130)</f>
        <v>3</v>
      </c>
      <c r="AF130" s="54" t="str">
        <f>VLOOKUP(AD130,review3,10,FALSE)</f>
        <v>HuongNTC2</v>
      </c>
      <c r="AG130" s="54" t="str">
        <f>VLOOKUP(AD130,review3,11,FALSE)</f>
        <v>VanTTN2</v>
      </c>
      <c r="AH130" s="47" t="b">
        <f>OR(EXACT(AF130,H130),EXACT(AF130,I130),EXACT(AG130,H130),EXACT(AG130,I130))</f>
        <v>0</v>
      </c>
      <c r="AI130" s="47" t="b">
        <f>OR(EXACT(AF130,V130),EXACT(AF130,W130),EXACT(AG130,V130),EXACT(AG130,W130))</f>
        <v>0</v>
      </c>
      <c r="AJ130" s="53">
        <f>VLOOKUP(AD130,review3,7,FALSE)</f>
        <v>46136</v>
      </c>
      <c r="AK130" s="53" t="str">
        <f>VLOOKUP(AD130,review3,8,FALSE)</f>
        <v>Fri</v>
      </c>
      <c r="AL130" s="47">
        <f>VLOOKUP(AD130,review3,4,FALSE)</f>
        <v>1</v>
      </c>
      <c r="AM130" s="47" t="str">
        <f>VLOOKUP(AD130,review3,9,FALSE)</f>
        <v>NVH.414</v>
      </c>
      <c r="AN130" s="55"/>
      <c r="AO130" t="s">
        <v>688</v>
      </c>
      <c r="AP130" s="98">
        <v>201</v>
      </c>
      <c r="AQ130" s="47" t="str">
        <f>VLOOKUP(AP130,defense1_list,7,FALSE)</f>
        <v>HuongNTC2_QuynhTNN4_KiemHH_NguHCV_TamPM</v>
      </c>
      <c r="AR130" s="57">
        <f>COUNTIF(defense1_forgroup_code,AP130)</f>
        <v>7</v>
      </c>
      <c r="AS130" s="4" t="b">
        <f>ISNUMBER(SEARCH(H130,AQ130))</f>
        <v>0</v>
      </c>
      <c r="AT130" s="4" t="b">
        <f>AND(NOT(ISBLANK(I130)),(ISNUMBER(SEARCH(I130,AQ130))))</f>
        <v>0</v>
      </c>
      <c r="AU130" s="4" t="b">
        <f>(IFERROR(SEARCH(AF130,AQ130),0)+IFERROR(SEARCH(AG130,AQ130),0))&gt;0</f>
        <v>1</v>
      </c>
      <c r="AV130" s="47"/>
      <c r="AW130" s="47"/>
      <c r="AX130" s="47"/>
      <c r="AY130" s="47"/>
      <c r="AZ130" s="128"/>
      <c r="BA130" s="47" t="e">
        <f>VLOOKUP(AZ130,defense2_list,7,FALSE)</f>
        <v>#N/A</v>
      </c>
      <c r="BB130" s="57">
        <f>COUNTIF(defense2_forgroup_code,AZ130)</f>
        <v>0</v>
      </c>
      <c r="BC130" s="4" t="b">
        <f>ISNUMBER(SEARCH(H130,BA130))</f>
        <v>0</v>
      </c>
      <c r="BD130" s="4" t="b">
        <f>AND(NOT(ISBLANK(I130)),(ISNUMBER(SEARCH(I130,AZ130))))</f>
        <v>0</v>
      </c>
      <c r="BE130" s="4"/>
      <c r="BF130" s="47"/>
      <c r="BG130" s="47"/>
    </row>
    <row r="131" spans="1:59" ht="15" thickBot="1" x14ac:dyDescent="0.4">
      <c r="A131" s="47">
        <v>18</v>
      </c>
      <c r="B131" s="48"/>
      <c r="C131" s="49" t="s">
        <v>460</v>
      </c>
      <c r="D131" s="58" t="s">
        <v>461</v>
      </c>
      <c r="E131" s="14" t="s">
        <v>462</v>
      </c>
      <c r="F131" s="14" t="s">
        <v>463</v>
      </c>
      <c r="G131" s="49" t="s">
        <v>629</v>
      </c>
      <c r="H131" s="50" t="s">
        <v>652</v>
      </c>
      <c r="I131" s="51"/>
      <c r="J131" s="6">
        <v>4244</v>
      </c>
      <c r="K131" s="6">
        <f>COUNTIF(review1_code,J131)</f>
        <v>3</v>
      </c>
      <c r="L131" s="4" t="str">
        <f>VLOOKUP(J131,review1,10,FALSE)</f>
        <v>TriPT9</v>
      </c>
      <c r="M131" s="4" t="str">
        <f>VLOOKUP(J131,review1,11,FALSE)</f>
        <v>LamNN15</v>
      </c>
      <c r="N131" s="47" t="b">
        <f>OR(EXACT(L131,H131),EXACT(L131,I131),EXACT(M131,H131),EXACT(M131,I131))</f>
        <v>0</v>
      </c>
      <c r="O131" s="52">
        <f>VLOOKUP(J131,review1,7,FALSE)</f>
        <v>46049</v>
      </c>
      <c r="P131" s="52" t="str">
        <f>VLOOKUP(J131,review1,8,FALSE)</f>
        <v>Tue</v>
      </c>
      <c r="Q131" s="47">
        <f>INT(MOD(J131/10,10))</f>
        <v>4</v>
      </c>
      <c r="R131" s="47" t="str">
        <f>VLOOKUP(J131,review1,9,FALSE)</f>
        <v>NVH G.01</v>
      </c>
      <c r="S131" s="47">
        <f>J131+4000</f>
        <v>8244</v>
      </c>
      <c r="T131" s="6">
        <v>8244</v>
      </c>
      <c r="U131" s="6">
        <f>COUNTIF(review2_code,T131)</f>
        <v>3</v>
      </c>
      <c r="V131" s="4" t="str">
        <f>VLOOKUP(T131,review2,10,FALSE)</f>
        <v>TriPT9</v>
      </c>
      <c r="W131" s="4" t="str">
        <f>VLOOKUP(T131,review2,11,FALSE)</f>
        <v>LamNN15</v>
      </c>
      <c r="X131" s="4" t="b">
        <f>OR(EXACT(V131,H131),EXACT(V131,I131),EXACT(W131,H131),EXACT(W131,I131))</f>
        <v>0</v>
      </c>
      <c r="Y131" s="53">
        <f>VLOOKUP(T131,review2,7,FALSE)</f>
        <v>46090</v>
      </c>
      <c r="Z131" s="53" t="str">
        <f>VLOOKUP(T131,review2,8,FALSE)</f>
        <v>Mon</v>
      </c>
      <c r="AA131" s="47">
        <f>INT(MOD(T131/10,10))</f>
        <v>4</v>
      </c>
      <c r="AB131" s="47" t="e">
        <f>VLOOKUP(J131,review2,9,FALSE)</f>
        <v>#N/A</v>
      </c>
      <c r="AC131" s="47"/>
      <c r="AD131" s="6">
        <v>14351</v>
      </c>
      <c r="AE131" s="6">
        <f>COUNTIF(review3_code,AD131)</f>
        <v>3</v>
      </c>
      <c r="AF131" s="54" t="str">
        <f>VLOOKUP(AD131,review3,10,FALSE)</f>
        <v>PhuongLHK</v>
      </c>
      <c r="AG131" s="54" t="str">
        <f>VLOOKUP(AD131,review3,11,FALSE)</f>
        <v>NhanDT35</v>
      </c>
      <c r="AH131" s="47" t="b">
        <f>OR(EXACT(AF131,H131),EXACT(AF131,I131),EXACT(AG131,H131),EXACT(AG131,I131))</f>
        <v>0</v>
      </c>
      <c r="AI131" s="47" t="b">
        <f>OR(EXACT(AF131,V131),EXACT(AF131,W131),EXACT(AG131,V131),EXACT(AG131,W131))</f>
        <v>0</v>
      </c>
      <c r="AJ131" s="53">
        <f>VLOOKUP(AD131,review3,7,FALSE)</f>
        <v>46133</v>
      </c>
      <c r="AK131" s="53" t="str">
        <f>VLOOKUP(AD131,review3,8,FALSE)</f>
        <v>Tue</v>
      </c>
      <c r="AL131" s="47">
        <f>VLOOKUP(AD131,review3,4,FALSE)</f>
        <v>5</v>
      </c>
      <c r="AM131" s="47" t="str">
        <f>VLOOKUP(AD131,review3,9,FALSE)</f>
        <v>NVH.301</v>
      </c>
      <c r="AN131" s="55"/>
      <c r="AO131" t="s">
        <v>688</v>
      </c>
      <c r="AP131" s="122">
        <v>204</v>
      </c>
      <c r="AQ131" s="47" t="str">
        <f>VLOOKUP(AP131,defense1_list,7,FALSE)</f>
        <v>PhuongLHK_PhucNT40_VuLNS_MinhTTH5_ThinhDP2</v>
      </c>
      <c r="AR131" s="57">
        <f>COUNTIF(defense1_forgroup_code,AP131)</f>
        <v>8</v>
      </c>
      <c r="AS131" s="4" t="b">
        <f>ISNUMBER(SEARCH(H131,AQ131))</f>
        <v>0</v>
      </c>
      <c r="AT131" s="4" t="b">
        <f>AND(NOT(ISBLANK(I131)),(ISNUMBER(SEARCH(I131,AQ131))))</f>
        <v>0</v>
      </c>
      <c r="AU131" s="4" t="b">
        <f>(IFERROR(SEARCH(AF131,AQ131),0)+IFERROR(SEARCH(AG131,AQ131),0))&gt;0</f>
        <v>1</v>
      </c>
      <c r="AV131" s="47"/>
      <c r="AW131" s="47"/>
      <c r="AX131" s="47"/>
      <c r="AY131" s="47"/>
      <c r="AZ131" s="128"/>
      <c r="BA131" s="47" t="e">
        <f>VLOOKUP(AZ131,defense2_list,7,FALSE)</f>
        <v>#N/A</v>
      </c>
      <c r="BB131" s="57">
        <f>COUNTIF(defense2_forgroup_code,AZ131)</f>
        <v>0</v>
      </c>
      <c r="BC131" s="4" t="b">
        <f>ISNUMBER(SEARCH(H131,BA131))</f>
        <v>0</v>
      </c>
      <c r="BD131" s="4" t="b">
        <f>AND(NOT(ISBLANK(I131)),(ISNUMBER(SEARCH(I131,AZ131))))</f>
        <v>0</v>
      </c>
      <c r="BE131" s="4"/>
      <c r="BF131" s="47"/>
      <c r="BG131" s="47"/>
    </row>
    <row r="132" spans="1:59" ht="15" thickBot="1" x14ac:dyDescent="0.4">
      <c r="A132" s="47">
        <v>49</v>
      </c>
      <c r="B132" s="48"/>
      <c r="C132" s="49" t="s">
        <v>472</v>
      </c>
      <c r="D132" s="58" t="s">
        <v>473</v>
      </c>
      <c r="E132" s="14" t="s">
        <v>474</v>
      </c>
      <c r="F132" s="14" t="s">
        <v>475</v>
      </c>
      <c r="G132" s="49" t="s">
        <v>539</v>
      </c>
      <c r="H132" s="50" t="s">
        <v>16</v>
      </c>
      <c r="I132" s="51"/>
      <c r="J132" s="6">
        <v>4321</v>
      </c>
      <c r="K132" s="6">
        <f>COUNTIF(review1_code,J132)</f>
        <v>3</v>
      </c>
      <c r="L132" s="4" t="str">
        <f>VLOOKUP(J132,review1,10,FALSE)</f>
        <v>TaiNT51</v>
      </c>
      <c r="M132" s="4" t="str">
        <f>VLOOKUP(J132,review1,11,FALSE)</f>
        <v>NguyenTT15</v>
      </c>
      <c r="N132" s="47" t="b">
        <f>OR(EXACT(L132,H132),EXACT(L132,I132),EXACT(M132,H132),EXACT(M132,I132))</f>
        <v>0</v>
      </c>
      <c r="O132" s="52">
        <f>VLOOKUP(J132,review1,7,FALSE)</f>
        <v>46050</v>
      </c>
      <c r="P132" s="52" t="str">
        <f>VLOOKUP(J132,review1,8,FALSE)</f>
        <v>Wed</v>
      </c>
      <c r="Q132" s="47">
        <f>INT(MOD(J132/10,10))</f>
        <v>2</v>
      </c>
      <c r="R132" s="47" t="str">
        <f>VLOOKUP(J132,review1,9,FALSE)</f>
        <v>NVH G.02</v>
      </c>
      <c r="S132" s="47">
        <f>J132+4000</f>
        <v>8321</v>
      </c>
      <c r="T132" s="6">
        <v>8321</v>
      </c>
      <c r="U132" s="6">
        <f>COUNTIF(review2_code,T132)</f>
        <v>3</v>
      </c>
      <c r="V132" s="4" t="str">
        <f>VLOOKUP(T132,review2,10,FALSE)</f>
        <v>TaiNT51</v>
      </c>
      <c r="W132" s="4" t="str">
        <f>VLOOKUP(T132,review2,11,FALSE)</f>
        <v>NguyenTT15</v>
      </c>
      <c r="X132" s="4" t="b">
        <f>OR(EXACT(V132,H132),EXACT(V132,I132),EXACT(W132,H132),EXACT(W132,I132))</f>
        <v>0</v>
      </c>
      <c r="Y132" s="53">
        <f>VLOOKUP(T132,review2,7,FALSE)</f>
        <v>46091</v>
      </c>
      <c r="Z132" s="53" t="str">
        <f>VLOOKUP(T132,review2,8,FALSE)</f>
        <v>Tue</v>
      </c>
      <c r="AA132" s="47">
        <f>INT(MOD(T132/10,10))</f>
        <v>2</v>
      </c>
      <c r="AB132" s="47" t="e">
        <f>VLOOKUP(J132,review2,9,FALSE)</f>
        <v>#N/A</v>
      </c>
      <c r="AC132" s="47"/>
      <c r="AD132" s="6">
        <v>14223</v>
      </c>
      <c r="AE132" s="6">
        <f>COUNTIF(review3_code,AD132)</f>
        <v>3</v>
      </c>
      <c r="AF132" s="54" t="str">
        <f>VLOOKUP(AD132,review3,10,FALSE)</f>
        <v>PhuongLHK</v>
      </c>
      <c r="AG132" s="54" t="str">
        <f>VLOOKUP(AD132,review3,11,FALSE)</f>
        <v>VuLNS</v>
      </c>
      <c r="AH132" s="47" t="b">
        <f>OR(EXACT(AF132,H132),EXACT(AF132,I132),EXACT(AG132,H132),EXACT(AG132,I132))</f>
        <v>0</v>
      </c>
      <c r="AI132" s="47" t="b">
        <f>OR(EXACT(AF132,V132),EXACT(AF132,W132),EXACT(AG132,V132),EXACT(AG132,W132))</f>
        <v>0</v>
      </c>
      <c r="AJ132" s="53">
        <f>VLOOKUP(AD132,review3,7,FALSE)</f>
        <v>46132</v>
      </c>
      <c r="AK132" s="53" t="str">
        <f>VLOOKUP(AD132,review3,8,FALSE)</f>
        <v>Mon</v>
      </c>
      <c r="AL132" s="47">
        <f>VLOOKUP(AD132,review3,4,FALSE)</f>
        <v>2</v>
      </c>
      <c r="AM132" s="47" t="str">
        <f>VLOOKUP(AD132,review3,9,FALSE)</f>
        <v>NVH.301</v>
      </c>
      <c r="AN132" s="55"/>
      <c r="AO132" t="s">
        <v>688</v>
      </c>
      <c r="AP132" s="98">
        <v>404</v>
      </c>
      <c r="AQ132" s="47" t="str">
        <f>VLOOKUP(AP132,defense1_list,7,FALSE)</f>
        <v>PhuongLHK_HungLD5_NhanDT35_VuLNS_TamPM</v>
      </c>
      <c r="AR132" s="57">
        <f>COUNTIF(defense1_forgroup_code,AP132)</f>
        <v>7</v>
      </c>
      <c r="AS132" s="4" t="b">
        <f>ISNUMBER(SEARCH(H132,AQ132))</f>
        <v>0</v>
      </c>
      <c r="AT132" s="4" t="b">
        <f>AND(NOT(ISBLANK(I132)),(ISNUMBER(SEARCH(I132,AQ132))))</f>
        <v>0</v>
      </c>
      <c r="AU132" s="4" t="b">
        <f>(IFERROR(SEARCH(AF132,AQ132),0)+IFERROR(SEARCH(AG132,AQ132),0))&gt;0</f>
        <v>1</v>
      </c>
      <c r="AV132" s="47"/>
      <c r="AW132" s="47"/>
      <c r="AX132" s="47"/>
      <c r="AY132" s="47"/>
      <c r="AZ132" s="128"/>
      <c r="BA132" s="47" t="e">
        <f>VLOOKUP(AZ132,defense2_list,7,FALSE)</f>
        <v>#N/A</v>
      </c>
      <c r="BB132" s="57">
        <f>COUNTIF(defense2_forgroup_code,AZ132)</f>
        <v>0</v>
      </c>
      <c r="BC132" s="4" t="b">
        <f>ISNUMBER(SEARCH(H132,BA132))</f>
        <v>0</v>
      </c>
      <c r="BD132" s="4" t="b">
        <f>AND(NOT(ISBLANK(I132)),(ISNUMBER(SEARCH(I132,AZ132))))</f>
        <v>0</v>
      </c>
      <c r="BE132" s="4"/>
      <c r="BF132" s="47"/>
      <c r="BG132" s="47"/>
    </row>
    <row r="133" spans="1:59" ht="15" thickBot="1" x14ac:dyDescent="0.4">
      <c r="A133" s="47">
        <v>90</v>
      </c>
      <c r="B133" s="48"/>
      <c r="C133" s="76" t="s">
        <v>476</v>
      </c>
      <c r="D133" s="58" t="s">
        <v>477</v>
      </c>
      <c r="E133" s="78" t="s">
        <v>478</v>
      </c>
      <c r="F133" s="78" t="s">
        <v>479</v>
      </c>
      <c r="G133" s="49" t="s">
        <v>629</v>
      </c>
      <c r="H133" s="50" t="s">
        <v>652</v>
      </c>
      <c r="I133" s="51"/>
      <c r="J133" s="6">
        <v>4332</v>
      </c>
      <c r="K133" s="6">
        <f>COUNTIF(review1_code,J133)</f>
        <v>3</v>
      </c>
      <c r="L133" s="4" t="str">
        <f>VLOOKUP(J133,review1,10,FALSE)</f>
        <v>NguyenTT15</v>
      </c>
      <c r="M133" s="4" t="str">
        <f>VLOOKUP(J133,review1,11,FALSE)</f>
        <v>SangNM18</v>
      </c>
      <c r="N133" s="47" t="b">
        <f>OR(EXACT(L133,H133),EXACT(L133,I133),EXACT(M133,H133),EXACT(M133,I133))</f>
        <v>0</v>
      </c>
      <c r="O133" s="52">
        <f>VLOOKUP(J133,review1,7,FALSE)</f>
        <v>46050</v>
      </c>
      <c r="P133" s="52" t="str">
        <f>VLOOKUP(J133,review1,8,FALSE)</f>
        <v>Wed</v>
      </c>
      <c r="Q133" s="47">
        <f>INT(MOD(J133/10,10))</f>
        <v>3</v>
      </c>
      <c r="R133" s="47" t="str">
        <f>VLOOKUP(J133,review1,9,FALSE)</f>
        <v>NVH G.02</v>
      </c>
      <c r="S133" s="47">
        <f>J133+4000</f>
        <v>8332</v>
      </c>
      <c r="T133" s="6">
        <v>8332</v>
      </c>
      <c r="U133" s="6">
        <f>COUNTIF(review2_code,T133)</f>
        <v>3</v>
      </c>
      <c r="V133" s="4" t="str">
        <f>VLOOKUP(T133,review2,10,FALSE)</f>
        <v>NguyenTT15</v>
      </c>
      <c r="W133" s="4" t="str">
        <f>VLOOKUP(T133,review2,11,FALSE)</f>
        <v>SangNM18</v>
      </c>
      <c r="X133" s="4" t="b">
        <f>OR(EXACT(V133,H133),EXACT(V133,I133),EXACT(W133,H133),EXACT(W133,I133))</f>
        <v>0</v>
      </c>
      <c r="Y133" s="53">
        <f>VLOOKUP(T133,review2,7,FALSE)</f>
        <v>46091</v>
      </c>
      <c r="Z133" s="53" t="str">
        <f>VLOOKUP(T133,review2,8,FALSE)</f>
        <v>Tue</v>
      </c>
      <c r="AA133" s="47">
        <f>INT(MOD(T133/10,10))</f>
        <v>3</v>
      </c>
      <c r="AB133" s="47" t="e">
        <f>VLOOKUP(J133,review2,9,FALSE)</f>
        <v>#N/A</v>
      </c>
      <c r="AC133" s="47"/>
      <c r="AD133" s="6">
        <v>14522</v>
      </c>
      <c r="AE133" s="6">
        <f>COUNTIF(review3_code,AD133)</f>
        <v>3</v>
      </c>
      <c r="AF133" s="54" t="str">
        <f>VLOOKUP(AD133,review3,10,FALSE)</f>
        <v>TaiNT51</v>
      </c>
      <c r="AG133" s="54" t="str">
        <f>VLOOKUP(AD133,review3,11,FALSE)</f>
        <v>PhuongLHK</v>
      </c>
      <c r="AH133" s="47" t="b">
        <f>OR(EXACT(AF133,H133),EXACT(AF133,I133),EXACT(AG133,H133),EXACT(AG133,I133))</f>
        <v>0</v>
      </c>
      <c r="AI133" s="47" t="b">
        <f>OR(EXACT(AF133,V133),EXACT(AF133,W133),EXACT(AG133,V133),EXACT(AG133,W133))</f>
        <v>0</v>
      </c>
      <c r="AJ133" s="53">
        <f>VLOOKUP(AD133,review3,7,FALSE)</f>
        <v>46135</v>
      </c>
      <c r="AK133" s="53" t="str">
        <f>VLOOKUP(AD133,review3,8,FALSE)</f>
        <v>Thu</v>
      </c>
      <c r="AL133" s="47">
        <f>VLOOKUP(AD133,review3,4,FALSE)</f>
        <v>2</v>
      </c>
      <c r="AM133" s="47" t="str">
        <f>VLOOKUP(AD133,review3,9,FALSE)</f>
        <v>NVH.415</v>
      </c>
      <c r="AN133" s="55"/>
      <c r="AO133" t="s">
        <v>688</v>
      </c>
      <c r="AP133" s="122">
        <v>204</v>
      </c>
      <c r="AQ133" s="47" t="str">
        <f>VLOOKUP(AP133,defense1_list,7,FALSE)</f>
        <v>PhuongLHK_PhucNT40_VuLNS_MinhTTH5_ThinhDP2</v>
      </c>
      <c r="AR133" s="57">
        <f>COUNTIF(defense1_forgroup_code,AP133)</f>
        <v>8</v>
      </c>
      <c r="AS133" s="4" t="b">
        <f>ISNUMBER(SEARCH(H133,AQ133))</f>
        <v>0</v>
      </c>
      <c r="AT133" s="4" t="b">
        <f>AND(NOT(ISBLANK(I133)),(ISNUMBER(SEARCH(I133,AQ133))))</f>
        <v>0</v>
      </c>
      <c r="AU133" s="4" t="b">
        <f>(IFERROR(SEARCH(AF133,AQ133),0)+IFERROR(SEARCH(AG133,AQ133),0))&gt;0</f>
        <v>1</v>
      </c>
      <c r="AV133" s="47"/>
      <c r="AW133" s="47"/>
      <c r="AX133" s="47"/>
      <c r="AY133" s="47"/>
      <c r="AZ133" s="128"/>
      <c r="BA133" s="47" t="e">
        <f>VLOOKUP(AZ133,defense2_list,7,FALSE)</f>
        <v>#N/A</v>
      </c>
      <c r="BB133" s="57">
        <f>COUNTIF(defense2_forgroup_code,AZ133)</f>
        <v>0</v>
      </c>
      <c r="BC133" s="4" t="b">
        <f>ISNUMBER(SEARCH(H133,BA133))</f>
        <v>0</v>
      </c>
      <c r="BD133" s="4" t="b">
        <f>AND(NOT(ISBLANK(I133)),(ISNUMBER(SEARCH(I133,AZ133))))</f>
        <v>0</v>
      </c>
      <c r="BE133" s="4"/>
      <c r="BF133" s="47"/>
      <c r="BG133" s="47"/>
    </row>
    <row r="134" spans="1:59" ht="15" thickBot="1" x14ac:dyDescent="0.4">
      <c r="A134" s="47">
        <v>55</v>
      </c>
      <c r="B134" s="48"/>
      <c r="C134" s="49" t="s">
        <v>480</v>
      </c>
      <c r="D134" s="58" t="s">
        <v>481</v>
      </c>
      <c r="E134" s="14" t="s">
        <v>482</v>
      </c>
      <c r="F134" s="14" t="s">
        <v>483</v>
      </c>
      <c r="G134" s="49" t="s">
        <v>84</v>
      </c>
      <c r="H134" s="50" t="s">
        <v>85</v>
      </c>
      <c r="I134" s="51"/>
      <c r="J134" s="6">
        <v>3431</v>
      </c>
      <c r="K134" s="6">
        <f>COUNTIF(review1_code,J134)</f>
        <v>3</v>
      </c>
      <c r="L134" s="74" t="str">
        <f>VLOOKUP(J134,review1,10,FALSE)</f>
        <v>DucDNM2</v>
      </c>
      <c r="M134" s="74" t="str">
        <f>VLOOKUP(J134,review1,11,FALSE)</f>
        <v>VanTTN2</v>
      </c>
      <c r="N134" s="47" t="b">
        <f>OR(EXACT(L134,H134),EXACT(L134,I134),EXACT(M134,H134),EXACT(M134,I134))</f>
        <v>0</v>
      </c>
      <c r="O134" s="52">
        <f>VLOOKUP(J134,review1,7,FALSE)</f>
        <v>46044</v>
      </c>
      <c r="P134" s="52" t="str">
        <f>VLOOKUP(J134,review1,8,FALSE)</f>
        <v>Thu</v>
      </c>
      <c r="Q134" s="47">
        <f>INT(MOD(J134/10,10))</f>
        <v>3</v>
      </c>
      <c r="R134" s="47" t="str">
        <f>VLOOKUP(J134,review1,9,FALSE)</f>
        <v>LB21 (Thư viên Campus)</v>
      </c>
      <c r="S134" s="47">
        <f>J134+4000</f>
        <v>7431</v>
      </c>
      <c r="T134" s="6">
        <v>7431</v>
      </c>
      <c r="U134" s="6">
        <f>COUNTIF(review2_code,T134)</f>
        <v>3</v>
      </c>
      <c r="V134" s="4" t="str">
        <f>VLOOKUP(T134,review2,10,FALSE)</f>
        <v>DucDNM2</v>
      </c>
      <c r="W134" s="4" t="str">
        <f>VLOOKUP(T134,review2,11,FALSE)</f>
        <v>VanTTN2</v>
      </c>
      <c r="X134" s="4" t="b">
        <f>OR(EXACT(V134,H134),EXACT(V134,I134),EXACT(W134,H134),EXACT(W134,I134))</f>
        <v>0</v>
      </c>
      <c r="Y134" s="53">
        <f>VLOOKUP(T134,review2,7,FALSE)</f>
        <v>46085</v>
      </c>
      <c r="Z134" s="53" t="str">
        <f>VLOOKUP(T134,review2,8,FALSE)</f>
        <v>Wed</v>
      </c>
      <c r="AA134" s="47">
        <f>INT(MOD(T134/10,10))</f>
        <v>3</v>
      </c>
      <c r="AB134" s="47" t="e">
        <f>VLOOKUP(J134,review2,9,FALSE)</f>
        <v>#N/A</v>
      </c>
      <c r="AC134" s="47"/>
      <c r="AD134" s="6">
        <v>14321</v>
      </c>
      <c r="AE134" s="6">
        <f>COUNTIF(review3_code,AD134)</f>
        <v>3</v>
      </c>
      <c r="AF134" s="54" t="str">
        <f>VLOOKUP(AD134,review3,10,FALSE)</f>
        <v>TamPM</v>
      </c>
      <c r="AG134" s="54" t="str">
        <f>VLOOKUP(AD134,review3,11,FALSE)</f>
        <v>TriPT9</v>
      </c>
      <c r="AH134" s="47" t="b">
        <f>OR(EXACT(AF134,H134),EXACT(AF134,I134),EXACT(AG134,H134),EXACT(AG134,I134))</f>
        <v>0</v>
      </c>
      <c r="AI134" s="47" t="b">
        <f>OR(EXACT(AF134,V134),EXACT(AF134,W134),EXACT(AG134,V134),EXACT(AG134,W134))</f>
        <v>0</v>
      </c>
      <c r="AJ134" s="53">
        <f>VLOOKUP(AD134,review3,7,FALSE)</f>
        <v>46133</v>
      </c>
      <c r="AK134" s="53" t="str">
        <f>VLOOKUP(AD134,review3,8,FALSE)</f>
        <v>Tue</v>
      </c>
      <c r="AL134" s="47">
        <f>VLOOKUP(AD134,review3,4,FALSE)</f>
        <v>2</v>
      </c>
      <c r="AM134" s="47" t="str">
        <f>VLOOKUP(AD134,review3,9,FALSE)</f>
        <v>NVH.415</v>
      </c>
      <c r="AN134" s="55"/>
      <c r="AO134" t="s">
        <v>688</v>
      </c>
      <c r="AP134" s="98">
        <v>402</v>
      </c>
      <c r="AQ134" s="47" t="str">
        <f>VLOOKUP(AP134,defense1_list,7,FALSE)</f>
        <v>TaiNT51_ThongNT_TriPT9_MinhTTH5_TruongLV11</v>
      </c>
      <c r="AR134" s="57">
        <f>COUNTIF(defense1_forgroup_code,AP134)</f>
        <v>8</v>
      </c>
      <c r="AS134" s="4" t="b">
        <f>ISNUMBER(SEARCH(H134,AQ134))</f>
        <v>0</v>
      </c>
      <c r="AT134" s="4" t="b">
        <f>AND(NOT(ISBLANK(I134)),(ISNUMBER(SEARCH(I134,AQ134))))</f>
        <v>0</v>
      </c>
      <c r="AU134" s="4" t="b">
        <f>(IFERROR(SEARCH(AF134,AQ134),0)+IFERROR(SEARCH(AG134,AQ134),0))&gt;0</f>
        <v>1</v>
      </c>
      <c r="AV134" s="47"/>
      <c r="AW134" s="47"/>
      <c r="AX134" s="47"/>
      <c r="AY134" s="47"/>
      <c r="AZ134" s="128"/>
      <c r="BA134" s="47" t="e">
        <f>VLOOKUP(AZ134,defense2_list,7,FALSE)</f>
        <v>#N/A</v>
      </c>
      <c r="BB134" s="57">
        <f>COUNTIF(defense2_forgroup_code,AZ134)</f>
        <v>0</v>
      </c>
      <c r="BC134" s="4" t="b">
        <f>ISNUMBER(SEARCH(H134,BA134))</f>
        <v>0</v>
      </c>
      <c r="BD134" s="4" t="b">
        <f>AND(NOT(ISBLANK(I134)),(ISNUMBER(SEARCH(I134,AZ134))))</f>
        <v>0</v>
      </c>
      <c r="BE134" s="4"/>
      <c r="BF134" s="47"/>
      <c r="BG134" s="47"/>
    </row>
    <row r="135" spans="1:59" x14ac:dyDescent="0.35">
      <c r="AP135" s="56"/>
    </row>
    <row r="136" spans="1:59" x14ac:dyDescent="0.35">
      <c r="AP136" s="56"/>
    </row>
    <row r="137" spans="1:59" x14ac:dyDescent="0.35">
      <c r="AP137" s="56"/>
    </row>
    <row r="138" spans="1:59" x14ac:dyDescent="0.35">
      <c r="AP138" s="56"/>
    </row>
    <row r="139" spans="1:59" x14ac:dyDescent="0.35">
      <c r="AP139" s="56"/>
    </row>
    <row r="140" spans="1:59" x14ac:dyDescent="0.35">
      <c r="AP140" s="56"/>
    </row>
    <row r="141" spans="1:59" x14ac:dyDescent="0.35">
      <c r="AP141" s="56"/>
    </row>
    <row r="142" spans="1:59" x14ac:dyDescent="0.35">
      <c r="AP142" s="56"/>
    </row>
    <row r="143" spans="1:59" x14ac:dyDescent="0.35">
      <c r="AP143" s="56"/>
    </row>
  </sheetData>
  <autoFilter ref="A3:BG134" xr:uid="{ADE4AA71-0C0B-402F-A275-648DAC2BAEBE}">
    <sortState xmlns:xlrd2="http://schemas.microsoft.com/office/spreadsheetml/2017/richdata2" ref="A4:BG134">
      <sortCondition ref="AZ3:AZ134"/>
    </sortState>
  </autoFilter>
  <mergeCells count="7">
    <mergeCell ref="AZ2:BG2"/>
    <mergeCell ref="B1:I1"/>
    <mergeCell ref="J1:AN1"/>
    <mergeCell ref="J2:S2"/>
    <mergeCell ref="T2:AC2"/>
    <mergeCell ref="AD2:AN2"/>
    <mergeCell ref="AP2:AW2"/>
  </mergeCells>
  <conditionalFormatting sqref="C133">
    <cfRule type="duplicateValues" dxfId="94" priority="29"/>
    <cfRule type="duplicateValues" dxfId="93" priority="34"/>
    <cfRule type="duplicateValues" dxfId="92" priority="35"/>
    <cfRule type="duplicateValues" dxfId="91" priority="36"/>
    <cfRule type="duplicateValues" dxfId="90" priority="37"/>
  </conditionalFormatting>
  <conditionalFormatting sqref="D4:D134">
    <cfRule type="duplicateValues" dxfId="89" priority="66"/>
  </conditionalFormatting>
  <conditionalFormatting sqref="E133">
    <cfRule type="duplicateValues" dxfId="88" priority="28"/>
    <cfRule type="duplicateValues" dxfId="87" priority="25"/>
    <cfRule type="duplicateValues" dxfId="86" priority="26"/>
    <cfRule type="duplicateValues" dxfId="85" priority="27"/>
    <cfRule type="duplicateValues" dxfId="84" priority="30"/>
    <cfRule type="duplicateValues" dxfId="83" priority="31"/>
    <cfRule type="duplicateValues" dxfId="82" priority="32"/>
    <cfRule type="duplicateValues" dxfId="81" priority="33"/>
    <cfRule type="duplicateValues" dxfId="80" priority="38"/>
    <cfRule type="duplicateValues" dxfId="79" priority="39"/>
  </conditionalFormatting>
  <conditionalFormatting sqref="F133">
    <cfRule type="duplicateValues" dxfId="78" priority="40"/>
  </conditionalFormatting>
  <conditionalFormatting sqref="N2:R3 Y2:AB134 AH2:AM134 N4:N134 Q4:R134">
    <cfRule type="containsText" dxfId="77" priority="53" operator="containsText" text="TRUE">
      <formula>NOT(ISERROR(SEARCH(("TRUE"),(N2))))</formula>
    </cfRule>
  </conditionalFormatting>
  <conditionalFormatting sqref="AI1:AI134">
    <cfRule type="cellIs" dxfId="76" priority="54" operator="equal">
      <formula>"FALSE"</formula>
    </cfRule>
  </conditionalFormatting>
  <conditionalFormatting sqref="AI4:AI134 AU4:AU134 BE4:BE134">
    <cfRule type="cellIs" dxfId="75" priority="55" operator="equal">
      <formula>"TRUE"</formula>
    </cfRule>
  </conditionalFormatting>
  <conditionalFormatting sqref="AN4:AN134">
    <cfRule type="cellIs" dxfId="74" priority="43" operator="equal">
      <formula>"Defense 2"</formula>
    </cfRule>
  </conditionalFormatting>
  <conditionalFormatting sqref="AN4:AO134">
    <cfRule type="cellIs" dxfId="73" priority="46" operator="equal">
      <formula>"Fail"</formula>
    </cfRule>
    <cfRule type="cellIs" dxfId="72" priority="47" operator="equal">
      <formula>"Defense 1"</formula>
    </cfRule>
  </conditionalFormatting>
  <conditionalFormatting sqref="AO1:AO134 AN4:AN134">
    <cfRule type="cellIs" dxfId="71" priority="45" operator="equal">
      <formula>"Defense1"</formula>
    </cfRule>
    <cfRule type="cellIs" dxfId="70" priority="44" operator="equal">
      <formula>"Defense2"</formula>
    </cfRule>
  </conditionalFormatting>
  <conditionalFormatting sqref="AP111 AP113">
    <cfRule type="duplicateValues" dxfId="69" priority="8"/>
  </conditionalFormatting>
  <conditionalFormatting sqref="AP115 AP117">
    <cfRule type="duplicateValues" dxfId="68" priority="7"/>
  </conditionalFormatting>
  <conditionalFormatting sqref="AP119 AP121">
    <cfRule type="duplicateValues" dxfId="67" priority="6"/>
  </conditionalFormatting>
  <conditionalFormatting sqref="AP123 AP125">
    <cfRule type="duplicateValues" dxfId="66" priority="5"/>
  </conditionalFormatting>
  <conditionalFormatting sqref="AP127 AP129">
    <cfRule type="duplicateValues" dxfId="65" priority="4"/>
  </conditionalFormatting>
  <conditionalFormatting sqref="AP131 AP133">
    <cfRule type="duplicateValues" dxfId="64" priority="3"/>
  </conditionalFormatting>
  <conditionalFormatting sqref="AS4:AT134">
    <cfRule type="cellIs" dxfId="63" priority="51" operator="equal">
      <formula>TRUE</formula>
    </cfRule>
  </conditionalFormatting>
  <conditionalFormatting sqref="AS3:AU3">
    <cfRule type="containsText" dxfId="62" priority="56" operator="containsText" text="TRUE">
      <formula>NOT(ISERROR(SEARCH(("TRUE"),(AS3))))</formula>
    </cfRule>
  </conditionalFormatting>
  <conditionalFormatting sqref="AS4:AU134 BC4:BE134">
    <cfRule type="cellIs" dxfId="61" priority="57" operator="equal">
      <formula>"TRUE"</formula>
    </cfRule>
  </conditionalFormatting>
  <conditionalFormatting sqref="AU4:AU134">
    <cfRule type="cellIs" dxfId="60" priority="2" operator="equal">
      <formula>FALSE</formula>
    </cfRule>
  </conditionalFormatting>
  <conditionalFormatting sqref="BF4:BG134 AV4:AY134">
    <cfRule type="cellIs" dxfId="59" priority="58" operator="equal">
      <formula>"Defense2"</formula>
    </cfRule>
    <cfRule type="cellIs" dxfId="58" priority="59" operator="equal">
      <formula>"Defense 2"</formula>
    </cfRule>
    <cfRule type="cellIs" dxfId="57" priority="60" operator="equal">
      <formula>"Drop"</formula>
    </cfRule>
  </conditionalFormatting>
  <conditionalFormatting sqref="BG4:BG134 AW4:AY134">
    <cfRule type="cellIs" dxfId="56" priority="62" operator="equal">
      <formula>"Fail"</formula>
    </cfRule>
    <cfRule type="cellIs" dxfId="55" priority="63" operator="equal">
      <formula>"Pass"</formula>
    </cfRule>
    <cfRule type="cellIs" dxfId="54" priority="64" operator="equal">
      <formula>"Fail"</formula>
    </cfRule>
    <cfRule type="cellIs" dxfId="53" priority="61" operator="equal">
      <formula>"Drop"</formula>
    </cfRule>
  </conditionalFormatting>
  <conditionalFormatting sqref="AW4:AY134">
    <cfRule type="cellIs" dxfId="52" priority="48" operator="equal">
      <formula>"NotParticate"</formula>
    </cfRule>
    <cfRule type="cellIs" dxfId="51" priority="49" operator="equal">
      <formula>"PassAPart"</formula>
    </cfRule>
  </conditionalFormatting>
  <conditionalFormatting sqref="AX4:AY134">
    <cfRule type="cellIs" dxfId="50" priority="42" operator="equal">
      <formula>TRUE</formula>
    </cfRule>
  </conditionalFormatting>
  <conditionalFormatting sqref="BC4:BD134">
    <cfRule type="cellIs" dxfId="0" priority="50" operator="equal">
      <formula>TRUE</formula>
    </cfRule>
    <cfRule type="cellIs" dxfId="1" priority="1" operator="equal">
      <formula>TRUE</formula>
    </cfRule>
  </conditionalFormatting>
  <conditionalFormatting sqref="BC3:BE3">
    <cfRule type="containsText" dxfId="49" priority="65" operator="containsText" text="TRUE">
      <formula>NOT(ISERROR(SEARCH(("TRUE"),(BC3))))</formula>
    </cfRule>
  </conditionalFormatting>
  <dataValidations count="6">
    <dataValidation allowBlank="1" showErrorMessage="1" sqref="AY4:AY80 AX4:AX83" xr:uid="{4DECB924-9E94-4E32-BB0C-956C35E84FC9}"/>
    <dataValidation type="list" allowBlank="1" showErrorMessage="1" sqref="AY81:AY134 AX84:AX134 AW4:AW134" xr:uid="{5A37E716-1735-4E27-88F5-83041DD2DD36}">
      <formula1>"Pass,PassAPart,Fail,NotParticipate,Defense2,Drop "</formula1>
    </dataValidation>
    <dataValidation type="list" allowBlank="1" showErrorMessage="1" sqref="AO4:AO93 AN81 AN92 AN4:AN76" xr:uid="{BBE02268-359C-4F1D-AD50-EE85F6D2B2A3}">
      <formula1>"Defense1,Defense2,Fail"</formula1>
    </dataValidation>
    <dataValidation type="list" allowBlank="1" showErrorMessage="1" sqref="BG4:BG79 BG81 BG92" xr:uid="{B57C6B66-6E4A-4674-8292-B1AA50F40E77}">
      <formula1>"Pass,Fail,Defense2,Drop"</formula1>
    </dataValidation>
    <dataValidation type="list" allowBlank="1" showErrorMessage="1" sqref="AN80" xr:uid="{544A9DFE-B421-4880-96E9-8D1DFEDAFAB5}">
      <formula1>"Defense1,Revised to Defense1,Defense2,Fail"</formula1>
    </dataValidation>
    <dataValidation type="list" allowBlank="1" showErrorMessage="1" sqref="AV5 BF5 AV7 BF7 AV10:AV12 BF10:BF12 AV16:AV17 BF16:BF17 AV21:AV25 BF21:BF25 AV27 BF27 AV30 BF30 AV34 BF34 AV38 BF38 AV40:AV41 BF40:BF41 AV44:AV45 BF44:BF45 AV47 BF47 AV49 BF49 AV51:AV52 BF51:BF52 AV54 BF54 AV62:AV63 BF62:BF63 AV65 BF65 AV68 BF68 AV70:AV72 BF70:BF72 AV74 BF74 AV77:AV78 BF77:BF78 AV81 BF81 AV92 BF92" xr:uid="{0E88BBEA-0DC0-43EC-ABEC-1B9BC7885F35}">
      <formula1>"Defense1,Defense2,Drop"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9850-3A41-43BC-BDC3-52ACFFF0EB44}">
  <dimension ref="A1:N49"/>
  <sheetViews>
    <sheetView topLeftCell="A2" workbookViewId="0">
      <selection activeCell="I5" sqref="I5"/>
    </sheetView>
  </sheetViews>
  <sheetFormatPr defaultRowHeight="14.5" x14ac:dyDescent="0.35"/>
  <cols>
    <col min="1" max="1" width="13.08984375" customWidth="1"/>
    <col min="2" max="3" width="16" customWidth="1"/>
    <col min="4" max="5" width="11.26953125" customWidth="1"/>
    <col min="6" max="6" width="10.54296875" customWidth="1"/>
    <col min="7" max="7" width="10.08984375" customWidth="1"/>
    <col min="8" max="8" width="8.81640625" customWidth="1"/>
    <col min="9" max="9" width="19.54296875" customWidth="1"/>
    <col min="10" max="10" width="14.453125"/>
    <col min="11" max="11" width="15.54296875" customWidth="1"/>
    <col min="12" max="12" width="8.08984375" customWidth="1"/>
    <col min="13" max="14" width="8.7265625" customWidth="1"/>
  </cols>
  <sheetData>
    <row r="1" spans="1:14" ht="23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ht="23.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4" ht="23.5" x14ac:dyDescent="0.35">
      <c r="A3" s="3" t="s">
        <v>1</v>
      </c>
      <c r="B3" s="4">
        <v>3</v>
      </c>
      <c r="C3" s="5">
        <v>46042</v>
      </c>
      <c r="D3" s="3"/>
      <c r="E3" s="3"/>
      <c r="F3" s="3"/>
      <c r="G3" s="3"/>
      <c r="H3" s="3"/>
      <c r="I3" s="3"/>
      <c r="J3" s="3"/>
      <c r="K3" s="3"/>
      <c r="L3" s="3"/>
    </row>
    <row r="4" spans="1:14" ht="29.5" thickBot="1" x14ac:dyDescent="0.4">
      <c r="A4" s="20" t="s">
        <v>2</v>
      </c>
      <c r="B4" s="21" t="s">
        <v>3</v>
      </c>
      <c r="C4" s="21" t="s">
        <v>4</v>
      </c>
      <c r="D4" s="21" t="s">
        <v>5</v>
      </c>
      <c r="E4" s="21" t="s">
        <v>31</v>
      </c>
      <c r="F4" s="21" t="s">
        <v>6</v>
      </c>
      <c r="G4" s="21" t="s">
        <v>1</v>
      </c>
      <c r="H4" s="21" t="s">
        <v>7</v>
      </c>
      <c r="I4" s="21" t="s">
        <v>8</v>
      </c>
      <c r="J4" s="22" t="s">
        <v>9</v>
      </c>
      <c r="K4" s="23" t="s">
        <v>10</v>
      </c>
      <c r="L4" s="21" t="s">
        <v>11</v>
      </c>
    </row>
    <row r="5" spans="1:14" ht="15" thickBot="1" x14ac:dyDescent="0.4">
      <c r="A5" s="7">
        <f t="shared" ref="A5:A48" si="0">E5*10+F5</f>
        <v>3411</v>
      </c>
      <c r="B5" s="8">
        <v>3</v>
      </c>
      <c r="C5" s="7">
        <v>4</v>
      </c>
      <c r="D5" s="69">
        <v>1</v>
      </c>
      <c r="E5" s="15">
        <f t="shared" ref="E5:E48" si="1">B5*100+C5*10+D5</f>
        <v>341</v>
      </c>
      <c r="F5" s="9">
        <v>1</v>
      </c>
      <c r="G5" s="10">
        <f t="shared" ref="G5:G48" si="2">$C$3+(B5-$B$3)*7+ C5-2</f>
        <v>46044</v>
      </c>
      <c r="H5" s="7" t="str">
        <f t="shared" ref="H5:H48" si="3">TEXT(G5,"ddd")</f>
        <v>Thu</v>
      </c>
      <c r="I5" s="79" t="s">
        <v>661</v>
      </c>
      <c r="J5" s="19" t="s">
        <v>18</v>
      </c>
      <c r="K5" s="19" t="s">
        <v>25</v>
      </c>
      <c r="L5" s="11">
        <f t="shared" ref="L5:L48" si="4">COUNTIF(review1_code,A5)</f>
        <v>3</v>
      </c>
      <c r="M5" cm="1">
        <f t="array" ref="M5">NameCode(J5)*E5</f>
        <v>409882</v>
      </c>
      <c r="N5" cm="1">
        <f t="array" ref="N5">NameCode(K5)*E5</f>
        <v>342705</v>
      </c>
    </row>
    <row r="6" spans="1:14" ht="15" thickBot="1" x14ac:dyDescent="0.4">
      <c r="A6" s="7">
        <f t="shared" si="0"/>
        <v>3421</v>
      </c>
      <c r="B6" s="8">
        <v>3</v>
      </c>
      <c r="C6" s="7">
        <v>4</v>
      </c>
      <c r="D6" s="69">
        <v>2</v>
      </c>
      <c r="E6" s="15">
        <f t="shared" si="1"/>
        <v>342</v>
      </c>
      <c r="F6" s="9">
        <v>1</v>
      </c>
      <c r="G6" s="10">
        <f t="shared" si="2"/>
        <v>46044</v>
      </c>
      <c r="H6" s="7" t="str">
        <f t="shared" si="3"/>
        <v>Thu</v>
      </c>
      <c r="I6" s="80" t="s">
        <v>662</v>
      </c>
      <c r="J6" s="19" t="s">
        <v>12</v>
      </c>
      <c r="K6" s="19" t="s">
        <v>13</v>
      </c>
      <c r="L6" s="11">
        <f t="shared" si="4"/>
        <v>3</v>
      </c>
      <c r="M6" cm="1">
        <f t="array" ref="M6">NameCode(J6)*E6</f>
        <v>458622</v>
      </c>
      <c r="N6" cm="1">
        <f t="array" ref="N6">NameCode(K6)*E6</f>
        <v>529758</v>
      </c>
    </row>
    <row r="7" spans="1:14" ht="29.5" thickBot="1" x14ac:dyDescent="0.4">
      <c r="A7" s="7">
        <f t="shared" si="0"/>
        <v>3431</v>
      </c>
      <c r="B7" s="8">
        <v>3</v>
      </c>
      <c r="C7" s="7">
        <v>4</v>
      </c>
      <c r="D7" s="69">
        <v>3</v>
      </c>
      <c r="E7" s="15">
        <f t="shared" si="1"/>
        <v>343</v>
      </c>
      <c r="F7" s="9">
        <v>1</v>
      </c>
      <c r="G7" s="10">
        <f t="shared" si="2"/>
        <v>46044</v>
      </c>
      <c r="H7" s="7" t="str">
        <f t="shared" si="3"/>
        <v>Thu</v>
      </c>
      <c r="I7" s="70" t="s">
        <v>663</v>
      </c>
      <c r="J7" s="17" t="s">
        <v>21</v>
      </c>
      <c r="K7" s="17" t="s">
        <v>20</v>
      </c>
      <c r="L7" s="11">
        <f t="shared" si="4"/>
        <v>3</v>
      </c>
      <c r="M7" cm="1">
        <f t="array" ref="M7">NameCode(J7)*E7</f>
        <v>462364</v>
      </c>
      <c r="N7" cm="1">
        <f t="array" ref="N7">NameCode(K7)*E7</f>
        <v>473340</v>
      </c>
    </row>
    <row r="8" spans="1:14" ht="29.5" thickBot="1" x14ac:dyDescent="0.4">
      <c r="A8" s="7">
        <f t="shared" si="0"/>
        <v>3441</v>
      </c>
      <c r="B8" s="8">
        <v>3</v>
      </c>
      <c r="C8" s="7">
        <v>4</v>
      </c>
      <c r="D8" s="69">
        <v>4</v>
      </c>
      <c r="E8" s="15">
        <f t="shared" si="1"/>
        <v>344</v>
      </c>
      <c r="F8" s="9">
        <v>1</v>
      </c>
      <c r="G8" s="10">
        <f t="shared" si="2"/>
        <v>46044</v>
      </c>
      <c r="H8" s="7" t="str">
        <f t="shared" si="3"/>
        <v>Thu</v>
      </c>
      <c r="I8" s="70" t="s">
        <v>663</v>
      </c>
      <c r="J8" s="17" t="s">
        <v>21</v>
      </c>
      <c r="K8" s="17" t="s">
        <v>20</v>
      </c>
      <c r="L8" s="11">
        <f t="shared" si="4"/>
        <v>3</v>
      </c>
      <c r="M8" cm="1">
        <f t="array" ref="M8">NameCode(J8)*E8</f>
        <v>463712</v>
      </c>
      <c r="N8" cm="1">
        <f t="array" ref="N8">NameCode(K8)*E8</f>
        <v>474720</v>
      </c>
    </row>
    <row r="9" spans="1:14" ht="15" thickBot="1" x14ac:dyDescent="0.4">
      <c r="A9" s="7">
        <f t="shared" si="0"/>
        <v>3442</v>
      </c>
      <c r="B9" s="8">
        <v>3</v>
      </c>
      <c r="C9" s="7">
        <v>4</v>
      </c>
      <c r="D9" s="69">
        <v>4</v>
      </c>
      <c r="E9" s="15">
        <f t="shared" si="1"/>
        <v>344</v>
      </c>
      <c r="F9" s="12">
        <v>2</v>
      </c>
      <c r="G9" s="10">
        <f t="shared" si="2"/>
        <v>46044</v>
      </c>
      <c r="H9" s="7" t="str">
        <f t="shared" si="3"/>
        <v>Thu</v>
      </c>
      <c r="I9" s="70" t="s">
        <v>662</v>
      </c>
      <c r="J9" s="18" t="s">
        <v>12</v>
      </c>
      <c r="K9" s="18" t="s">
        <v>13</v>
      </c>
      <c r="L9" s="11">
        <f t="shared" si="4"/>
        <v>3</v>
      </c>
      <c r="M9" cm="1">
        <f t="array" ref="M9">NameCode(J9)*E9</f>
        <v>461304</v>
      </c>
      <c r="N9" cm="1">
        <f t="array" ref="N9">NameCode(K9)*E9</f>
        <v>532856</v>
      </c>
    </row>
    <row r="10" spans="1:14" ht="15" thickBot="1" x14ac:dyDescent="0.4">
      <c r="A10" s="7">
        <f t="shared" si="0"/>
        <v>3451</v>
      </c>
      <c r="B10" s="8">
        <v>3</v>
      </c>
      <c r="C10" s="7">
        <v>4</v>
      </c>
      <c r="D10" s="69">
        <v>5</v>
      </c>
      <c r="E10" s="15">
        <f t="shared" si="1"/>
        <v>345</v>
      </c>
      <c r="F10" s="9">
        <v>1</v>
      </c>
      <c r="G10" s="10">
        <f t="shared" si="2"/>
        <v>46044</v>
      </c>
      <c r="H10" s="7" t="str">
        <f t="shared" si="3"/>
        <v>Thu</v>
      </c>
      <c r="I10" s="70" t="s">
        <v>662</v>
      </c>
      <c r="J10" s="17" t="s">
        <v>14</v>
      </c>
      <c r="K10" s="17" t="s">
        <v>17</v>
      </c>
      <c r="L10" s="11">
        <f t="shared" si="4"/>
        <v>3</v>
      </c>
      <c r="M10" cm="1">
        <f t="array" ref="M10">NameCode(J10)*E10</f>
        <v>643425</v>
      </c>
      <c r="N10" cm="1">
        <f t="array" ref="N10">NameCode(K10)*E10</f>
        <v>549585</v>
      </c>
    </row>
    <row r="11" spans="1:14" ht="15" thickBot="1" x14ac:dyDescent="0.4">
      <c r="A11" s="7">
        <f t="shared" si="0"/>
        <v>3452</v>
      </c>
      <c r="B11" s="8">
        <v>3</v>
      </c>
      <c r="C11" s="7">
        <v>4</v>
      </c>
      <c r="D11" s="69">
        <v>5</v>
      </c>
      <c r="E11" s="15">
        <f t="shared" si="1"/>
        <v>345</v>
      </c>
      <c r="F11" s="9">
        <v>2</v>
      </c>
      <c r="G11" s="10">
        <f t="shared" si="2"/>
        <v>46044</v>
      </c>
      <c r="H11" s="7" t="str">
        <f t="shared" si="3"/>
        <v>Thu</v>
      </c>
      <c r="I11" s="70" t="s">
        <v>661</v>
      </c>
      <c r="J11" s="18" t="s">
        <v>18</v>
      </c>
      <c r="K11" s="18" t="s">
        <v>25</v>
      </c>
      <c r="L11" s="11">
        <f t="shared" si="4"/>
        <v>3</v>
      </c>
      <c r="M11" cm="1">
        <f t="array" ref="M11">NameCode(J11)*E11</f>
        <v>414690</v>
      </c>
      <c r="N11" cm="1">
        <f t="array" ref="N11">NameCode(K11)*E11</f>
        <v>346725</v>
      </c>
    </row>
    <row r="12" spans="1:14" ht="15" thickBot="1" x14ac:dyDescent="0.4">
      <c r="A12" s="7">
        <f t="shared" si="0"/>
        <v>3521</v>
      </c>
      <c r="B12" s="8">
        <v>3</v>
      </c>
      <c r="C12" s="7">
        <v>5</v>
      </c>
      <c r="D12" s="69">
        <v>2</v>
      </c>
      <c r="E12" s="15">
        <f t="shared" si="1"/>
        <v>352</v>
      </c>
      <c r="F12" s="9">
        <v>1</v>
      </c>
      <c r="G12" s="10">
        <f t="shared" si="2"/>
        <v>46045</v>
      </c>
      <c r="H12" s="7" t="str">
        <f t="shared" si="3"/>
        <v>Fri</v>
      </c>
      <c r="I12" s="70" t="s">
        <v>664</v>
      </c>
      <c r="J12" s="18" t="s">
        <v>23</v>
      </c>
      <c r="K12" s="18" t="s">
        <v>14</v>
      </c>
      <c r="L12" s="11">
        <f t="shared" si="4"/>
        <v>2</v>
      </c>
      <c r="M12" cm="1">
        <f t="array" ref="M12">NameCode(J12)*E12</f>
        <v>636768</v>
      </c>
      <c r="N12" cm="1">
        <f t="array" ref="N12">NameCode(K12)*E12</f>
        <v>656480</v>
      </c>
    </row>
    <row r="13" spans="1:14" ht="15" thickBot="1" x14ac:dyDescent="0.4">
      <c r="A13" s="7">
        <f t="shared" si="0"/>
        <v>3532</v>
      </c>
      <c r="B13" s="8">
        <v>3</v>
      </c>
      <c r="C13" s="7">
        <v>5</v>
      </c>
      <c r="D13" s="69">
        <v>3</v>
      </c>
      <c r="E13" s="15">
        <f t="shared" si="1"/>
        <v>353</v>
      </c>
      <c r="F13" s="9">
        <v>2</v>
      </c>
      <c r="G13" s="10">
        <f t="shared" si="2"/>
        <v>46045</v>
      </c>
      <c r="H13" s="7" t="str">
        <f t="shared" si="3"/>
        <v>Fri</v>
      </c>
      <c r="I13" s="70" t="s">
        <v>664</v>
      </c>
      <c r="J13" s="18" t="s">
        <v>23</v>
      </c>
      <c r="K13" s="18" t="s">
        <v>32</v>
      </c>
      <c r="L13" s="11">
        <f t="shared" si="4"/>
        <v>3</v>
      </c>
      <c r="M13" cm="1">
        <f t="array" ref="M13">NameCode(J13)*E13</f>
        <v>638577</v>
      </c>
      <c r="N13" cm="1">
        <f t="array" ref="N13">NameCode(K13)*E13</f>
        <v>428895</v>
      </c>
    </row>
    <row r="14" spans="1:14" ht="15" thickBot="1" x14ac:dyDescent="0.4">
      <c r="A14" s="7">
        <f t="shared" si="0"/>
        <v>3533</v>
      </c>
      <c r="B14" s="8">
        <v>3</v>
      </c>
      <c r="C14" s="7">
        <v>5</v>
      </c>
      <c r="D14" s="69">
        <v>3</v>
      </c>
      <c r="E14" s="15">
        <f t="shared" si="1"/>
        <v>353</v>
      </c>
      <c r="F14" s="9">
        <v>3</v>
      </c>
      <c r="G14" s="10">
        <f t="shared" si="2"/>
        <v>46045</v>
      </c>
      <c r="H14" s="7" t="str">
        <f t="shared" si="3"/>
        <v>Fri</v>
      </c>
      <c r="I14" s="80" t="s">
        <v>665</v>
      </c>
      <c r="J14" s="19" t="s">
        <v>14</v>
      </c>
      <c r="K14" s="19" t="s">
        <v>17</v>
      </c>
      <c r="L14" s="11">
        <f t="shared" si="4"/>
        <v>3</v>
      </c>
      <c r="M14" cm="1">
        <f t="array" ref="M14">NameCode(J14)*E14</f>
        <v>658345</v>
      </c>
      <c r="N14" cm="1">
        <f t="array" ref="N14">NameCode(K14)*E14</f>
        <v>562329</v>
      </c>
    </row>
    <row r="15" spans="1:14" ht="15" thickBot="1" x14ac:dyDescent="0.4">
      <c r="A15" s="7">
        <f t="shared" si="0"/>
        <v>3543</v>
      </c>
      <c r="B15" s="8">
        <v>3</v>
      </c>
      <c r="C15" s="7">
        <v>5</v>
      </c>
      <c r="D15" s="69">
        <v>4</v>
      </c>
      <c r="E15" s="15">
        <f t="shared" si="1"/>
        <v>354</v>
      </c>
      <c r="F15" s="9">
        <v>3</v>
      </c>
      <c r="G15" s="10">
        <f t="shared" si="2"/>
        <v>46045</v>
      </c>
      <c r="H15" s="7" t="str">
        <f t="shared" si="3"/>
        <v>Fri</v>
      </c>
      <c r="I15" s="80" t="s">
        <v>666</v>
      </c>
      <c r="J15" s="19" t="s">
        <v>18</v>
      </c>
      <c r="K15" s="19" t="s">
        <v>32</v>
      </c>
      <c r="L15" s="11">
        <f t="shared" si="4"/>
        <v>3</v>
      </c>
      <c r="M15" cm="1">
        <f t="array" ref="M15">NameCode(J15)*E15</f>
        <v>425508</v>
      </c>
      <c r="N15" cm="1">
        <f t="array" ref="N15">NameCode(K15)*E15</f>
        <v>430110</v>
      </c>
    </row>
    <row r="16" spans="1:14" ht="15" thickBot="1" x14ac:dyDescent="0.4">
      <c r="A16" s="7">
        <f t="shared" si="0"/>
        <v>3544</v>
      </c>
      <c r="B16" s="8">
        <v>3</v>
      </c>
      <c r="C16" s="7">
        <v>5</v>
      </c>
      <c r="D16" s="69">
        <v>4</v>
      </c>
      <c r="E16" s="15">
        <f t="shared" si="1"/>
        <v>354</v>
      </c>
      <c r="F16" s="9">
        <v>4</v>
      </c>
      <c r="G16" s="10">
        <f t="shared" si="2"/>
        <v>46045</v>
      </c>
      <c r="H16" s="7" t="str">
        <f t="shared" si="3"/>
        <v>Fri</v>
      </c>
      <c r="I16" s="80" t="s">
        <v>664</v>
      </c>
      <c r="J16" s="19" t="s">
        <v>23</v>
      </c>
      <c r="K16" s="19" t="s">
        <v>26</v>
      </c>
      <c r="L16" s="11">
        <f t="shared" si="4"/>
        <v>3</v>
      </c>
      <c r="M16" cm="1">
        <f t="array" ref="M16">NameCode(J16)*E16</f>
        <v>640386</v>
      </c>
      <c r="N16" cm="1">
        <f t="array" ref="N16">NameCode(K16)*E16</f>
        <v>471174</v>
      </c>
    </row>
    <row r="17" spans="1:14" ht="15" thickBot="1" x14ac:dyDescent="0.4">
      <c r="A17" s="7">
        <f t="shared" si="0"/>
        <v>3551</v>
      </c>
      <c r="B17" s="8">
        <v>3</v>
      </c>
      <c r="C17" s="7">
        <v>5</v>
      </c>
      <c r="D17" s="69">
        <v>5</v>
      </c>
      <c r="E17" s="15">
        <f t="shared" si="1"/>
        <v>355</v>
      </c>
      <c r="F17" s="9">
        <v>1</v>
      </c>
      <c r="G17" s="10">
        <f t="shared" si="2"/>
        <v>46045</v>
      </c>
      <c r="H17" s="7" t="str">
        <f t="shared" si="3"/>
        <v>Fri</v>
      </c>
      <c r="I17" s="80" t="s">
        <v>664</v>
      </c>
      <c r="J17" s="19" t="s">
        <v>26</v>
      </c>
      <c r="K17" s="19" t="s">
        <v>24</v>
      </c>
      <c r="L17" s="11">
        <f t="shared" si="4"/>
        <v>3</v>
      </c>
      <c r="M17" cm="1">
        <f t="array" ref="M17">NameCode(J17)*E17</f>
        <v>472505</v>
      </c>
      <c r="N17" cm="1">
        <f t="array" ref="N17">NameCode(K17)*E17</f>
        <v>552735</v>
      </c>
    </row>
    <row r="18" spans="1:14" ht="15" thickBot="1" x14ac:dyDescent="0.4">
      <c r="A18" s="7">
        <f t="shared" si="0"/>
        <v>3552</v>
      </c>
      <c r="B18" s="8">
        <v>3</v>
      </c>
      <c r="C18" s="7">
        <v>5</v>
      </c>
      <c r="D18" s="69">
        <v>5</v>
      </c>
      <c r="E18" s="15">
        <f t="shared" si="1"/>
        <v>355</v>
      </c>
      <c r="F18" s="9">
        <v>2</v>
      </c>
      <c r="G18" s="10">
        <f t="shared" si="2"/>
        <v>46045</v>
      </c>
      <c r="H18" s="7" t="str">
        <f t="shared" si="3"/>
        <v>Fri</v>
      </c>
      <c r="I18" s="70" t="s">
        <v>666</v>
      </c>
      <c r="J18" s="18" t="s">
        <v>12</v>
      </c>
      <c r="K18" s="18" t="s">
        <v>17</v>
      </c>
      <c r="L18" s="11">
        <f t="shared" si="4"/>
        <v>3</v>
      </c>
      <c r="M18" cm="1">
        <f t="array" ref="M18">NameCode(J18)*E18</f>
        <v>476055</v>
      </c>
      <c r="N18" cm="1">
        <f t="array" ref="N18">NameCode(K18)*E18</f>
        <v>565515</v>
      </c>
    </row>
    <row r="19" spans="1:14" ht="15" thickBot="1" x14ac:dyDescent="0.4">
      <c r="A19" s="7">
        <f t="shared" si="0"/>
        <v>3553</v>
      </c>
      <c r="B19" s="8">
        <v>3</v>
      </c>
      <c r="C19" s="7">
        <v>5</v>
      </c>
      <c r="D19" s="69">
        <v>5</v>
      </c>
      <c r="E19" s="15">
        <f t="shared" si="1"/>
        <v>355</v>
      </c>
      <c r="F19" s="12">
        <v>3</v>
      </c>
      <c r="G19" s="10">
        <f t="shared" si="2"/>
        <v>46045</v>
      </c>
      <c r="H19" s="7" t="str">
        <f t="shared" si="3"/>
        <v>Fri</v>
      </c>
      <c r="I19" s="80" t="s">
        <v>665</v>
      </c>
      <c r="J19" s="19" t="s">
        <v>14</v>
      </c>
      <c r="K19" s="19" t="s">
        <v>13</v>
      </c>
      <c r="L19" s="11">
        <f t="shared" si="4"/>
        <v>3</v>
      </c>
      <c r="M19" cm="1">
        <f t="array" ref="M19">NameCode(J19)*E19</f>
        <v>662075</v>
      </c>
      <c r="N19" cm="1">
        <f t="array" ref="N19">NameCode(K19)*E19</f>
        <v>549895</v>
      </c>
    </row>
    <row r="20" spans="1:14" ht="15" thickBot="1" x14ac:dyDescent="0.4">
      <c r="A20" s="7">
        <f t="shared" si="0"/>
        <v>3554</v>
      </c>
      <c r="B20" s="8">
        <v>3</v>
      </c>
      <c r="C20" s="7">
        <v>5</v>
      </c>
      <c r="D20" s="69">
        <v>5</v>
      </c>
      <c r="E20" s="15">
        <f t="shared" si="1"/>
        <v>355</v>
      </c>
      <c r="F20" s="12">
        <v>4</v>
      </c>
      <c r="G20" s="10">
        <f t="shared" si="2"/>
        <v>46045</v>
      </c>
      <c r="H20" s="7" t="str">
        <f t="shared" si="3"/>
        <v>Fri</v>
      </c>
      <c r="I20" s="80" t="s">
        <v>667</v>
      </c>
      <c r="J20" s="19" t="s">
        <v>18</v>
      </c>
      <c r="K20" s="71" t="s">
        <v>32</v>
      </c>
      <c r="L20" s="11">
        <f t="shared" si="4"/>
        <v>3</v>
      </c>
      <c r="M20" cm="1">
        <f t="array" ref="M20">NameCode(J20)*E20</f>
        <v>426710</v>
      </c>
      <c r="N20" cm="1">
        <f t="array" ref="N20">NameCode(K20)*E20</f>
        <v>431325</v>
      </c>
    </row>
    <row r="21" spans="1:14" ht="15" thickBot="1" x14ac:dyDescent="0.4">
      <c r="A21" s="7">
        <f t="shared" si="0"/>
        <v>3611</v>
      </c>
      <c r="B21" s="8">
        <v>3</v>
      </c>
      <c r="C21" s="8">
        <v>6</v>
      </c>
      <c r="D21" s="69">
        <v>1</v>
      </c>
      <c r="E21" s="15">
        <f t="shared" si="1"/>
        <v>361</v>
      </c>
      <c r="F21" s="9">
        <v>1</v>
      </c>
      <c r="G21" s="10">
        <f t="shared" si="2"/>
        <v>46046</v>
      </c>
      <c r="H21" s="7" t="str">
        <f t="shared" si="3"/>
        <v>Sat</v>
      </c>
      <c r="I21" s="70" t="s">
        <v>662</v>
      </c>
      <c r="J21" s="18" t="s">
        <v>23</v>
      </c>
      <c r="K21" s="18" t="s">
        <v>12</v>
      </c>
      <c r="L21" s="11">
        <f t="shared" si="4"/>
        <v>3</v>
      </c>
      <c r="M21" cm="1">
        <f t="array" ref="M21">NameCode(J21)*E21</f>
        <v>653049</v>
      </c>
      <c r="N21" cm="1">
        <f t="array" ref="N21">NameCode(K21)*E21</f>
        <v>484101</v>
      </c>
    </row>
    <row r="22" spans="1:14" ht="15" thickBot="1" x14ac:dyDescent="0.4">
      <c r="A22" s="7">
        <f t="shared" si="0"/>
        <v>3613</v>
      </c>
      <c r="B22" s="8">
        <v>3</v>
      </c>
      <c r="C22" s="8">
        <v>6</v>
      </c>
      <c r="D22" s="69">
        <v>1</v>
      </c>
      <c r="E22" s="15">
        <f t="shared" si="1"/>
        <v>361</v>
      </c>
      <c r="F22" s="9">
        <v>3</v>
      </c>
      <c r="G22" s="10">
        <f t="shared" si="2"/>
        <v>46046</v>
      </c>
      <c r="H22" s="7" t="str">
        <f t="shared" si="3"/>
        <v>Sat</v>
      </c>
      <c r="I22" s="80" t="s">
        <v>666</v>
      </c>
      <c r="J22" s="16" t="s">
        <v>13</v>
      </c>
      <c r="K22" s="16" t="s">
        <v>25</v>
      </c>
      <c r="L22" s="11">
        <f t="shared" si="4"/>
        <v>3</v>
      </c>
      <c r="M22" cm="1">
        <f t="array" ref="M22">NameCode(J22)*E22</f>
        <v>559189</v>
      </c>
      <c r="N22" cm="1">
        <f t="array" ref="N22">NameCode(K22)*E22</f>
        <v>362805</v>
      </c>
    </row>
    <row r="23" spans="1:14" ht="15" thickBot="1" x14ac:dyDescent="0.4">
      <c r="A23" s="7">
        <f t="shared" si="0"/>
        <v>3621</v>
      </c>
      <c r="B23" s="8">
        <v>3</v>
      </c>
      <c r="C23" s="8">
        <v>6</v>
      </c>
      <c r="D23" s="69">
        <v>2</v>
      </c>
      <c r="E23" s="15">
        <f t="shared" si="1"/>
        <v>362</v>
      </c>
      <c r="F23" s="9">
        <v>1</v>
      </c>
      <c r="G23" s="10">
        <f t="shared" si="2"/>
        <v>46046</v>
      </c>
      <c r="H23" s="7" t="str">
        <f t="shared" si="3"/>
        <v>Sat</v>
      </c>
      <c r="I23" s="80" t="s">
        <v>662</v>
      </c>
      <c r="J23" s="19" t="s">
        <v>23</v>
      </c>
      <c r="K23" s="19" t="s">
        <v>12</v>
      </c>
      <c r="L23" s="11">
        <f t="shared" si="4"/>
        <v>3</v>
      </c>
      <c r="M23" cm="1">
        <f t="array" ref="M23">NameCode(J23)*E23</f>
        <v>654858</v>
      </c>
      <c r="N23" cm="1">
        <f t="array" ref="N23">NameCode(K23)*E23</f>
        <v>485442</v>
      </c>
    </row>
    <row r="24" spans="1:14" ht="15" thickBot="1" x14ac:dyDescent="0.4">
      <c r="A24" s="7">
        <f t="shared" si="0"/>
        <v>3631</v>
      </c>
      <c r="B24" s="8">
        <v>3</v>
      </c>
      <c r="C24" s="8">
        <v>6</v>
      </c>
      <c r="D24" s="69">
        <v>3</v>
      </c>
      <c r="E24" s="15">
        <f t="shared" si="1"/>
        <v>363</v>
      </c>
      <c r="F24" s="9">
        <v>1</v>
      </c>
      <c r="G24" s="10">
        <f t="shared" si="2"/>
        <v>46046</v>
      </c>
      <c r="H24" s="7" t="str">
        <f t="shared" si="3"/>
        <v>Sat</v>
      </c>
      <c r="I24" s="80" t="s">
        <v>662</v>
      </c>
      <c r="J24" s="19" t="s">
        <v>23</v>
      </c>
      <c r="K24" s="19" t="s">
        <v>24</v>
      </c>
      <c r="L24" s="11">
        <f t="shared" si="4"/>
        <v>3</v>
      </c>
      <c r="M24" cm="1">
        <f t="array" ref="M24">NameCode(J24)*E24</f>
        <v>656667</v>
      </c>
      <c r="N24" cm="1">
        <f t="array" ref="N24">NameCode(K24)*E24</f>
        <v>565191</v>
      </c>
    </row>
    <row r="25" spans="1:14" ht="15" thickBot="1" x14ac:dyDescent="0.4">
      <c r="A25" s="7">
        <f t="shared" si="0"/>
        <v>3641</v>
      </c>
      <c r="B25" s="8">
        <v>3</v>
      </c>
      <c r="C25" s="7">
        <v>6</v>
      </c>
      <c r="D25" s="69">
        <v>4</v>
      </c>
      <c r="E25" s="15">
        <f t="shared" si="1"/>
        <v>364</v>
      </c>
      <c r="F25" s="9">
        <v>1</v>
      </c>
      <c r="G25" s="10">
        <f t="shared" si="2"/>
        <v>46046</v>
      </c>
      <c r="H25" s="7" t="str">
        <f t="shared" si="3"/>
        <v>Sat</v>
      </c>
      <c r="I25" s="80" t="s">
        <v>666</v>
      </c>
      <c r="J25" s="19" t="s">
        <v>13</v>
      </c>
      <c r="K25" s="19" t="s">
        <v>25</v>
      </c>
      <c r="L25" s="11">
        <f t="shared" si="4"/>
        <v>3</v>
      </c>
      <c r="M25" cm="1">
        <f t="array" ref="M25">NameCode(J25)*E25</f>
        <v>563836</v>
      </c>
      <c r="N25" cm="1">
        <f t="array" ref="N25">NameCode(K25)*E25</f>
        <v>365820</v>
      </c>
    </row>
    <row r="26" spans="1:14" ht="15" thickBot="1" x14ac:dyDescent="0.4">
      <c r="A26" s="7">
        <f t="shared" si="0"/>
        <v>3642</v>
      </c>
      <c r="B26" s="8">
        <v>3</v>
      </c>
      <c r="C26" s="8">
        <v>6</v>
      </c>
      <c r="D26" s="69">
        <v>4</v>
      </c>
      <c r="E26" s="15">
        <f t="shared" si="1"/>
        <v>364</v>
      </c>
      <c r="F26" s="9">
        <v>2</v>
      </c>
      <c r="G26" s="10">
        <f t="shared" si="2"/>
        <v>46046</v>
      </c>
      <c r="H26" s="7" t="str">
        <f t="shared" si="3"/>
        <v>Sat</v>
      </c>
      <c r="I26" s="80" t="s">
        <v>662</v>
      </c>
      <c r="J26" s="16" t="s">
        <v>23</v>
      </c>
      <c r="K26" s="16" t="s">
        <v>19</v>
      </c>
      <c r="L26" s="11">
        <f t="shared" si="4"/>
        <v>3</v>
      </c>
      <c r="M26" cm="1">
        <f t="array" ref="M26">NameCode(J26)*E26</f>
        <v>658476</v>
      </c>
      <c r="N26" cm="1">
        <f t="array" ref="N26">NameCode(K26)*E26</f>
        <v>368368</v>
      </c>
    </row>
    <row r="27" spans="1:14" ht="15" thickBot="1" x14ac:dyDescent="0.4">
      <c r="A27" s="7">
        <f t="shared" si="0"/>
        <v>3651</v>
      </c>
      <c r="B27" s="8">
        <v>3</v>
      </c>
      <c r="C27" s="7">
        <v>6</v>
      </c>
      <c r="D27" s="69">
        <v>5</v>
      </c>
      <c r="E27" s="15">
        <f t="shared" si="1"/>
        <v>365</v>
      </c>
      <c r="F27" s="9">
        <v>1</v>
      </c>
      <c r="G27" s="10">
        <f t="shared" si="2"/>
        <v>46046</v>
      </c>
      <c r="H27" s="7" t="str">
        <f t="shared" si="3"/>
        <v>Sat</v>
      </c>
      <c r="I27" s="80" t="s">
        <v>661</v>
      </c>
      <c r="J27" s="19" t="s">
        <v>12</v>
      </c>
      <c r="K27" s="19" t="s">
        <v>26</v>
      </c>
      <c r="L27" s="11">
        <f t="shared" si="4"/>
        <v>3</v>
      </c>
      <c r="M27" cm="1">
        <f t="array" ref="M27">NameCode(J27)*E27</f>
        <v>489465</v>
      </c>
      <c r="N27" cm="1">
        <f t="array" ref="N27">NameCode(K27)*E27</f>
        <v>485815</v>
      </c>
    </row>
    <row r="28" spans="1:14" ht="15" thickBot="1" x14ac:dyDescent="0.4">
      <c r="A28" s="7">
        <f t="shared" si="0"/>
        <v>3652</v>
      </c>
      <c r="B28" s="8">
        <v>3</v>
      </c>
      <c r="C28" s="7">
        <v>6</v>
      </c>
      <c r="D28" s="69">
        <v>5</v>
      </c>
      <c r="E28" s="15">
        <f t="shared" si="1"/>
        <v>365</v>
      </c>
      <c r="F28" s="9">
        <v>2</v>
      </c>
      <c r="G28" s="10">
        <f t="shared" si="2"/>
        <v>46046</v>
      </c>
      <c r="H28" s="7" t="str">
        <f t="shared" si="3"/>
        <v>Sat</v>
      </c>
      <c r="I28" s="80" t="s">
        <v>662</v>
      </c>
      <c r="J28" s="19" t="s">
        <v>14</v>
      </c>
      <c r="K28" s="19" t="s">
        <v>19</v>
      </c>
      <c r="L28" s="11">
        <f t="shared" si="4"/>
        <v>3</v>
      </c>
      <c r="M28" cm="1">
        <f t="array" ref="M28">NameCode(J28)*E28</f>
        <v>680725</v>
      </c>
      <c r="N28" cm="1">
        <f t="array" ref="N28">NameCode(K28)*E28</f>
        <v>369380</v>
      </c>
    </row>
    <row r="29" spans="1:14" ht="15" thickBot="1" x14ac:dyDescent="0.4">
      <c r="A29" s="7">
        <f t="shared" si="0"/>
        <v>4121</v>
      </c>
      <c r="B29" s="8">
        <v>4</v>
      </c>
      <c r="C29" s="7">
        <v>1</v>
      </c>
      <c r="D29" s="69">
        <v>2</v>
      </c>
      <c r="E29" s="15">
        <f t="shared" si="1"/>
        <v>412</v>
      </c>
      <c r="F29" s="9">
        <v>1</v>
      </c>
      <c r="G29" s="10">
        <f t="shared" si="2"/>
        <v>46048</v>
      </c>
      <c r="H29" s="7" t="str">
        <f t="shared" si="3"/>
        <v>Mon</v>
      </c>
      <c r="I29" s="80" t="s">
        <v>662</v>
      </c>
      <c r="J29" s="19" t="s">
        <v>12</v>
      </c>
      <c r="K29" s="19" t="s">
        <v>24</v>
      </c>
      <c r="L29" s="11">
        <f t="shared" si="4"/>
        <v>3</v>
      </c>
      <c r="M29" cm="1">
        <f t="array" ref="M29">NameCode(J29)*E29</f>
        <v>552492</v>
      </c>
      <c r="N29" cm="1">
        <f t="array" ref="N29">NameCode(K29)*E29</f>
        <v>641484</v>
      </c>
    </row>
    <row r="30" spans="1:14" ht="15" thickBot="1" x14ac:dyDescent="0.4">
      <c r="A30" s="7">
        <f t="shared" si="0"/>
        <v>4141</v>
      </c>
      <c r="B30" s="8">
        <v>4</v>
      </c>
      <c r="C30" s="7">
        <v>1</v>
      </c>
      <c r="D30" s="69">
        <v>4</v>
      </c>
      <c r="E30" s="15">
        <f t="shared" si="1"/>
        <v>414</v>
      </c>
      <c r="F30" s="9">
        <v>1</v>
      </c>
      <c r="G30" s="10">
        <f t="shared" si="2"/>
        <v>46048</v>
      </c>
      <c r="H30" s="7" t="str">
        <f t="shared" si="3"/>
        <v>Mon</v>
      </c>
      <c r="I30" s="70" t="s">
        <v>662</v>
      </c>
      <c r="J30" s="18" t="s">
        <v>13</v>
      </c>
      <c r="K30" s="18" t="s">
        <v>32</v>
      </c>
      <c r="L30" s="11">
        <f t="shared" si="4"/>
        <v>3</v>
      </c>
      <c r="M30" cm="1">
        <f t="array" ref="M30">NameCode(J30)*E30</f>
        <v>641286</v>
      </c>
      <c r="N30" cm="1">
        <f t="array" ref="N30">NameCode(K30)*E30</f>
        <v>503010</v>
      </c>
    </row>
    <row r="31" spans="1:14" ht="15" thickBot="1" x14ac:dyDescent="0.4">
      <c r="A31" s="7">
        <f t="shared" si="0"/>
        <v>4151</v>
      </c>
      <c r="B31" s="8">
        <v>4</v>
      </c>
      <c r="C31" s="7">
        <v>1</v>
      </c>
      <c r="D31" s="69">
        <v>5</v>
      </c>
      <c r="E31" s="15">
        <f t="shared" si="1"/>
        <v>415</v>
      </c>
      <c r="F31" s="9">
        <v>1</v>
      </c>
      <c r="G31" s="10">
        <f t="shared" si="2"/>
        <v>46048</v>
      </c>
      <c r="H31" s="7" t="str">
        <f t="shared" si="3"/>
        <v>Mon</v>
      </c>
      <c r="I31" s="70" t="s">
        <v>662</v>
      </c>
      <c r="J31" s="18" t="s">
        <v>13</v>
      </c>
      <c r="K31" s="18" t="s">
        <v>32</v>
      </c>
      <c r="L31" s="11">
        <f t="shared" si="4"/>
        <v>3</v>
      </c>
      <c r="M31" cm="1">
        <f t="array" ref="M31">NameCode(J31)*E31</f>
        <v>642835</v>
      </c>
      <c r="N31" cm="1">
        <f t="array" ref="N31">NameCode(K31)*E31</f>
        <v>504225</v>
      </c>
    </row>
    <row r="32" spans="1:14" ht="15" thickBot="1" x14ac:dyDescent="0.4">
      <c r="A32" s="7">
        <f t="shared" si="0"/>
        <v>4212</v>
      </c>
      <c r="B32" s="8">
        <v>4</v>
      </c>
      <c r="C32" s="7">
        <v>2</v>
      </c>
      <c r="D32" s="69">
        <v>1</v>
      </c>
      <c r="E32" s="15">
        <f t="shared" si="1"/>
        <v>421</v>
      </c>
      <c r="F32" s="9">
        <v>2</v>
      </c>
      <c r="G32" s="10">
        <f t="shared" si="2"/>
        <v>46049</v>
      </c>
      <c r="H32" s="7" t="str">
        <f t="shared" si="3"/>
        <v>Tue</v>
      </c>
      <c r="I32" s="70" t="s">
        <v>661</v>
      </c>
      <c r="J32" s="17" t="s">
        <v>12</v>
      </c>
      <c r="K32" s="17" t="s">
        <v>17</v>
      </c>
      <c r="L32" s="11">
        <f t="shared" si="4"/>
        <v>3</v>
      </c>
      <c r="M32" cm="1">
        <f t="array" ref="M32">NameCode(J32)*E32</f>
        <v>564561</v>
      </c>
      <c r="N32" cm="1">
        <f t="array" ref="N32">NameCode(K32)*E32</f>
        <v>670653</v>
      </c>
    </row>
    <row r="33" spans="1:14" ht="15" thickBot="1" x14ac:dyDescent="0.4">
      <c r="A33" s="7">
        <f t="shared" si="0"/>
        <v>4223</v>
      </c>
      <c r="B33" s="8">
        <v>4</v>
      </c>
      <c r="C33" s="7">
        <v>2</v>
      </c>
      <c r="D33" s="69">
        <v>2</v>
      </c>
      <c r="E33" s="15">
        <f t="shared" si="1"/>
        <v>422</v>
      </c>
      <c r="F33" s="12">
        <v>3</v>
      </c>
      <c r="G33" s="10">
        <f t="shared" si="2"/>
        <v>46049</v>
      </c>
      <c r="H33" s="7" t="str">
        <f t="shared" si="3"/>
        <v>Tue</v>
      </c>
      <c r="I33" s="70" t="s">
        <v>662</v>
      </c>
      <c r="J33" s="18" t="s">
        <v>14</v>
      </c>
      <c r="K33" s="18" t="s">
        <v>17</v>
      </c>
      <c r="L33" s="11">
        <f t="shared" si="4"/>
        <v>3</v>
      </c>
      <c r="M33" cm="1">
        <f t="array" ref="M33">NameCode(J33)*E33</f>
        <v>787030</v>
      </c>
      <c r="N33" cm="1">
        <f t="array" ref="N33">NameCode(K33)*E33</f>
        <v>672246</v>
      </c>
    </row>
    <row r="34" spans="1:14" ht="15" thickBot="1" x14ac:dyDescent="0.4">
      <c r="A34" s="7">
        <f t="shared" si="0"/>
        <v>4231</v>
      </c>
      <c r="B34" s="8">
        <v>4</v>
      </c>
      <c r="C34" s="7">
        <v>2</v>
      </c>
      <c r="D34" s="69">
        <v>3</v>
      </c>
      <c r="E34" s="15">
        <f t="shared" si="1"/>
        <v>423</v>
      </c>
      <c r="F34" s="9">
        <v>1</v>
      </c>
      <c r="G34" s="10">
        <f t="shared" si="2"/>
        <v>46049</v>
      </c>
      <c r="H34" s="7" t="str">
        <f t="shared" si="3"/>
        <v>Tue</v>
      </c>
      <c r="I34" s="70" t="s">
        <v>662</v>
      </c>
      <c r="J34" s="18" t="s">
        <v>14</v>
      </c>
      <c r="K34" s="18" t="s">
        <v>17</v>
      </c>
      <c r="L34" s="11">
        <f t="shared" si="4"/>
        <v>3</v>
      </c>
      <c r="M34" cm="1">
        <f t="array" ref="M34">NameCode(J34)*E34</f>
        <v>788895</v>
      </c>
      <c r="N34" cm="1">
        <f t="array" ref="N34">NameCode(K34)*E34</f>
        <v>673839</v>
      </c>
    </row>
    <row r="35" spans="1:14" ht="15" thickBot="1" x14ac:dyDescent="0.4">
      <c r="A35" s="7">
        <f t="shared" si="0"/>
        <v>4232</v>
      </c>
      <c r="B35" s="8">
        <v>4</v>
      </c>
      <c r="C35" s="7">
        <v>2</v>
      </c>
      <c r="D35" s="69">
        <v>3</v>
      </c>
      <c r="E35" s="15">
        <f t="shared" si="1"/>
        <v>423</v>
      </c>
      <c r="F35" s="9">
        <v>2</v>
      </c>
      <c r="G35" s="10">
        <f t="shared" si="2"/>
        <v>46049</v>
      </c>
      <c r="H35" s="7" t="str">
        <f t="shared" si="3"/>
        <v>Tue</v>
      </c>
      <c r="I35" s="70" t="s">
        <v>661</v>
      </c>
      <c r="J35" s="18" t="s">
        <v>12</v>
      </c>
      <c r="K35" s="18" t="s">
        <v>32</v>
      </c>
      <c r="L35" s="11">
        <f t="shared" si="4"/>
        <v>3</v>
      </c>
      <c r="M35" cm="1">
        <f t="array" ref="M35">NameCode(J35)*E35</f>
        <v>567243</v>
      </c>
      <c r="N35" cm="1">
        <f t="array" ref="N35">NameCode(K35)*E35</f>
        <v>513945</v>
      </c>
    </row>
    <row r="36" spans="1:14" ht="15" thickBot="1" x14ac:dyDescent="0.4">
      <c r="A36" s="7">
        <f t="shared" si="0"/>
        <v>4243</v>
      </c>
      <c r="B36" s="8">
        <v>4</v>
      </c>
      <c r="C36" s="7">
        <v>2</v>
      </c>
      <c r="D36" s="69">
        <v>4</v>
      </c>
      <c r="E36" s="15">
        <f t="shared" si="1"/>
        <v>424</v>
      </c>
      <c r="F36" s="9">
        <v>3</v>
      </c>
      <c r="G36" s="10">
        <f t="shared" si="2"/>
        <v>46049</v>
      </c>
      <c r="H36" s="7" t="str">
        <f t="shared" si="3"/>
        <v>Tue</v>
      </c>
      <c r="I36" s="70" t="s">
        <v>661</v>
      </c>
      <c r="J36" s="18" t="s">
        <v>12</v>
      </c>
      <c r="K36" s="18" t="s">
        <v>32</v>
      </c>
      <c r="L36" s="11">
        <f t="shared" si="4"/>
        <v>3</v>
      </c>
      <c r="M36" cm="1">
        <f t="array" ref="M36">NameCode(J36)*E36</f>
        <v>568584</v>
      </c>
      <c r="N36" cm="1">
        <f t="array" ref="N36">NameCode(K36)*E36</f>
        <v>515160</v>
      </c>
    </row>
    <row r="37" spans="1:14" ht="15" thickBot="1" x14ac:dyDescent="0.4">
      <c r="A37" s="7">
        <f t="shared" si="0"/>
        <v>4244</v>
      </c>
      <c r="B37" s="8">
        <v>4</v>
      </c>
      <c r="C37" s="7">
        <v>2</v>
      </c>
      <c r="D37" s="69">
        <v>4</v>
      </c>
      <c r="E37" s="15">
        <f t="shared" si="1"/>
        <v>424</v>
      </c>
      <c r="F37" s="9">
        <v>4</v>
      </c>
      <c r="G37" s="10">
        <f t="shared" si="2"/>
        <v>46049</v>
      </c>
      <c r="H37" s="7" t="str">
        <f t="shared" si="3"/>
        <v>Tue</v>
      </c>
      <c r="I37" s="70" t="s">
        <v>662</v>
      </c>
      <c r="J37" s="18" t="s">
        <v>18</v>
      </c>
      <c r="K37" s="18" t="s">
        <v>26</v>
      </c>
      <c r="L37" s="11">
        <f t="shared" si="4"/>
        <v>3</v>
      </c>
      <c r="M37" cm="1">
        <f t="array" ref="M37">NameCode(J37)*E37</f>
        <v>509648</v>
      </c>
      <c r="N37" cm="1">
        <f t="array" ref="N37">NameCode(K37)*E37</f>
        <v>564344</v>
      </c>
    </row>
    <row r="38" spans="1:14" ht="15" thickBot="1" x14ac:dyDescent="0.4">
      <c r="A38" s="7">
        <f t="shared" si="0"/>
        <v>4312</v>
      </c>
      <c r="B38" s="8">
        <v>4</v>
      </c>
      <c r="C38" s="7">
        <v>3</v>
      </c>
      <c r="D38" s="69">
        <v>1</v>
      </c>
      <c r="E38" s="15">
        <f t="shared" si="1"/>
        <v>431</v>
      </c>
      <c r="F38" s="9">
        <v>2</v>
      </c>
      <c r="G38" s="10">
        <f t="shared" si="2"/>
        <v>46050</v>
      </c>
      <c r="H38" s="7" t="str">
        <f t="shared" si="3"/>
        <v>Wed</v>
      </c>
      <c r="I38" s="70" t="s">
        <v>662</v>
      </c>
      <c r="J38" s="18" t="s">
        <v>13</v>
      </c>
      <c r="K38" s="18" t="s">
        <v>24</v>
      </c>
      <c r="L38" s="11">
        <f t="shared" si="4"/>
        <v>3</v>
      </c>
      <c r="M38" cm="1">
        <f t="array" ref="M38">NameCode(J38)*E38</f>
        <v>667619</v>
      </c>
      <c r="N38" cm="1">
        <f t="array" ref="N38">NameCode(K38)*E38</f>
        <v>671067</v>
      </c>
    </row>
    <row r="39" spans="1:14" ht="15" thickBot="1" x14ac:dyDescent="0.4">
      <c r="A39" s="7">
        <f t="shared" si="0"/>
        <v>4321</v>
      </c>
      <c r="B39" s="8">
        <v>4</v>
      </c>
      <c r="C39" s="7">
        <v>3</v>
      </c>
      <c r="D39" s="69">
        <v>2</v>
      </c>
      <c r="E39" s="15">
        <f t="shared" si="1"/>
        <v>432</v>
      </c>
      <c r="F39" s="9">
        <v>1</v>
      </c>
      <c r="G39" s="10">
        <f t="shared" si="2"/>
        <v>46050</v>
      </c>
      <c r="H39" s="7" t="str">
        <f t="shared" si="3"/>
        <v>Wed</v>
      </c>
      <c r="I39" s="70" t="s">
        <v>661</v>
      </c>
      <c r="J39" s="18" t="s">
        <v>12</v>
      </c>
      <c r="K39" s="18" t="s">
        <v>76</v>
      </c>
      <c r="L39" s="11">
        <f t="shared" si="4"/>
        <v>3</v>
      </c>
      <c r="M39" cm="1">
        <f t="array" ref="M39">NameCode(J39)*E39</f>
        <v>579312</v>
      </c>
      <c r="N39" cm="1">
        <f t="array" ref="N39">NameCode(K39)*E39</f>
        <v>876960</v>
      </c>
    </row>
    <row r="40" spans="1:14" ht="15" thickBot="1" x14ac:dyDescent="0.4">
      <c r="A40" s="7">
        <f t="shared" si="0"/>
        <v>4332</v>
      </c>
      <c r="B40" s="8">
        <v>4</v>
      </c>
      <c r="C40" s="7">
        <v>3</v>
      </c>
      <c r="D40" s="69">
        <v>3</v>
      </c>
      <c r="E40" s="15">
        <f t="shared" si="1"/>
        <v>433</v>
      </c>
      <c r="F40" s="9">
        <v>2</v>
      </c>
      <c r="G40" s="10">
        <f t="shared" si="2"/>
        <v>46050</v>
      </c>
      <c r="H40" s="7" t="str">
        <f t="shared" si="3"/>
        <v>Wed</v>
      </c>
      <c r="I40" s="70" t="s">
        <v>661</v>
      </c>
      <c r="J40" s="17" t="s">
        <v>76</v>
      </c>
      <c r="K40" s="17" t="s">
        <v>24</v>
      </c>
      <c r="L40" s="11">
        <f t="shared" si="4"/>
        <v>3</v>
      </c>
      <c r="M40" cm="1">
        <f t="array" ref="M40">NameCode(J40)*E40</f>
        <v>878990</v>
      </c>
      <c r="N40" cm="1">
        <f t="array" ref="N40">NameCode(K40)*E40</f>
        <v>674181</v>
      </c>
    </row>
    <row r="41" spans="1:14" ht="15" thickBot="1" x14ac:dyDescent="0.4">
      <c r="A41" s="7">
        <f t="shared" si="0"/>
        <v>4341</v>
      </c>
      <c r="B41" s="8">
        <v>4</v>
      </c>
      <c r="C41" s="7">
        <v>3</v>
      </c>
      <c r="D41" s="69">
        <v>4</v>
      </c>
      <c r="E41" s="15">
        <f t="shared" si="1"/>
        <v>434</v>
      </c>
      <c r="F41" s="9">
        <v>1</v>
      </c>
      <c r="G41" s="10">
        <f t="shared" si="2"/>
        <v>46050</v>
      </c>
      <c r="H41" s="7" t="str">
        <f t="shared" si="3"/>
        <v>Wed</v>
      </c>
      <c r="I41" s="70" t="s">
        <v>662</v>
      </c>
      <c r="J41" s="18" t="s">
        <v>13</v>
      </c>
      <c r="K41" s="18" t="s">
        <v>76</v>
      </c>
      <c r="L41" s="11">
        <f t="shared" si="4"/>
        <v>3</v>
      </c>
      <c r="M41" cm="1">
        <f t="array" ref="M41">NameCode(J41)*E41</f>
        <v>672266</v>
      </c>
      <c r="N41" cm="1">
        <f t="array" ref="N41">NameCode(K41)*E41</f>
        <v>881020</v>
      </c>
    </row>
    <row r="42" spans="1:14" ht="15" thickBot="1" x14ac:dyDescent="0.4">
      <c r="A42" s="7">
        <f t="shared" si="0"/>
        <v>4342</v>
      </c>
      <c r="B42" s="8">
        <v>4</v>
      </c>
      <c r="C42" s="7">
        <v>3</v>
      </c>
      <c r="D42" s="69">
        <v>4</v>
      </c>
      <c r="E42" s="15">
        <f t="shared" si="1"/>
        <v>434</v>
      </c>
      <c r="F42" s="9">
        <v>2</v>
      </c>
      <c r="G42" s="10">
        <f t="shared" si="2"/>
        <v>46050</v>
      </c>
      <c r="H42" s="7" t="str">
        <f t="shared" si="3"/>
        <v>Wed</v>
      </c>
      <c r="I42" s="70" t="s">
        <v>661</v>
      </c>
      <c r="J42" s="17" t="s">
        <v>19</v>
      </c>
      <c r="K42" s="17" t="s">
        <v>18</v>
      </c>
      <c r="L42" s="11">
        <f t="shared" si="4"/>
        <v>3</v>
      </c>
      <c r="M42" cm="1">
        <f t="array" ref="M42">NameCode(J42)*E42</f>
        <v>439208</v>
      </c>
      <c r="N42" cm="1">
        <f t="array" ref="N42">NameCode(K42)*E42</f>
        <v>521668</v>
      </c>
    </row>
    <row r="43" spans="1:14" ht="15" thickBot="1" x14ac:dyDescent="0.4">
      <c r="A43" s="7">
        <f t="shared" si="0"/>
        <v>4351</v>
      </c>
      <c r="B43" s="8">
        <v>4</v>
      </c>
      <c r="C43" s="7">
        <v>3</v>
      </c>
      <c r="D43" s="69">
        <v>5</v>
      </c>
      <c r="E43" s="15">
        <f t="shared" si="1"/>
        <v>435</v>
      </c>
      <c r="F43" s="9">
        <v>1</v>
      </c>
      <c r="G43" s="10">
        <f t="shared" si="2"/>
        <v>46050</v>
      </c>
      <c r="H43" s="7" t="str">
        <f t="shared" si="3"/>
        <v>Wed</v>
      </c>
      <c r="I43" s="70" t="s">
        <v>662</v>
      </c>
      <c r="J43" s="17" t="s">
        <v>14</v>
      </c>
      <c r="K43" s="72" t="s">
        <v>19</v>
      </c>
      <c r="L43" s="11">
        <f t="shared" si="4"/>
        <v>3</v>
      </c>
      <c r="M43" cm="1">
        <f t="array" ref="M43">NameCode(J43)*E43</f>
        <v>811275</v>
      </c>
      <c r="N43" cm="1">
        <f t="array" ref="N43">NameCode(K43)*E43</f>
        <v>440220</v>
      </c>
    </row>
    <row r="44" spans="1:14" ht="29.5" thickBot="1" x14ac:dyDescent="0.4">
      <c r="A44" s="7">
        <f t="shared" si="0"/>
        <v>4431</v>
      </c>
      <c r="B44" s="8">
        <v>4</v>
      </c>
      <c r="C44" s="7">
        <v>4</v>
      </c>
      <c r="D44" s="69">
        <v>3</v>
      </c>
      <c r="E44" s="15">
        <f t="shared" si="1"/>
        <v>443</v>
      </c>
      <c r="F44" s="9">
        <v>1</v>
      </c>
      <c r="G44" s="10">
        <f t="shared" si="2"/>
        <v>46051</v>
      </c>
      <c r="H44" s="7" t="str">
        <f t="shared" si="3"/>
        <v>Thu</v>
      </c>
      <c r="I44" s="70" t="s">
        <v>663</v>
      </c>
      <c r="J44" s="18" t="s">
        <v>21</v>
      </c>
      <c r="K44" s="18" t="s">
        <v>20</v>
      </c>
      <c r="L44" s="11">
        <f t="shared" si="4"/>
        <v>3</v>
      </c>
      <c r="M44" cm="1">
        <f t="array" ref="M44">NameCode(J44)*E44</f>
        <v>597164</v>
      </c>
      <c r="N44" cm="1">
        <f t="array" ref="N44">NameCode(K44)*E44</f>
        <v>611340</v>
      </c>
    </row>
    <row r="45" spans="1:14" ht="29.5" thickBot="1" x14ac:dyDescent="0.4">
      <c r="A45" s="7">
        <f t="shared" si="0"/>
        <v>4441</v>
      </c>
      <c r="B45" s="8">
        <v>4</v>
      </c>
      <c r="C45" s="7">
        <v>4</v>
      </c>
      <c r="D45" s="69">
        <v>4</v>
      </c>
      <c r="E45" s="15">
        <f t="shared" si="1"/>
        <v>444</v>
      </c>
      <c r="F45" s="9">
        <v>1</v>
      </c>
      <c r="G45" s="10">
        <f t="shared" si="2"/>
        <v>46051</v>
      </c>
      <c r="H45" s="7" t="str">
        <f t="shared" si="3"/>
        <v>Thu</v>
      </c>
      <c r="I45" s="70" t="s">
        <v>663</v>
      </c>
      <c r="J45" s="18" t="s">
        <v>21</v>
      </c>
      <c r="K45" s="18" t="s">
        <v>20</v>
      </c>
      <c r="L45" s="11">
        <f t="shared" si="4"/>
        <v>3</v>
      </c>
      <c r="M45" cm="1">
        <f t="array" ref="M45">NameCode(J45)*E45</f>
        <v>598512</v>
      </c>
      <c r="N45" cm="1">
        <f t="array" ref="N45">NameCode(K45)*E45</f>
        <v>612720</v>
      </c>
    </row>
    <row r="46" spans="1:14" ht="15" thickBot="1" x14ac:dyDescent="0.4">
      <c r="A46" s="7">
        <f t="shared" si="0"/>
        <v>4524</v>
      </c>
      <c r="B46" s="8">
        <v>4</v>
      </c>
      <c r="C46" s="7">
        <v>5</v>
      </c>
      <c r="D46" s="69">
        <v>2</v>
      </c>
      <c r="E46" s="15">
        <f t="shared" si="1"/>
        <v>452</v>
      </c>
      <c r="F46" s="9">
        <v>4</v>
      </c>
      <c r="G46" s="10">
        <f t="shared" si="2"/>
        <v>46052</v>
      </c>
      <c r="H46" s="7" t="str">
        <f t="shared" si="3"/>
        <v>Fri</v>
      </c>
      <c r="I46" s="70" t="s">
        <v>662</v>
      </c>
      <c r="J46" s="17" t="s">
        <v>14</v>
      </c>
      <c r="K46" s="17" t="s">
        <v>24</v>
      </c>
      <c r="L46" s="11">
        <f t="shared" si="4"/>
        <v>3</v>
      </c>
      <c r="M46" cm="1">
        <f t="array" ref="M46">NameCode(J46)*E46</f>
        <v>842980</v>
      </c>
      <c r="N46" cm="1">
        <f t="array" ref="N46">NameCode(K46)*E46</f>
        <v>703764</v>
      </c>
    </row>
    <row r="47" spans="1:14" ht="15" thickBot="1" x14ac:dyDescent="0.4">
      <c r="A47" s="7">
        <f t="shared" si="0"/>
        <v>4531</v>
      </c>
      <c r="B47" s="8">
        <v>4</v>
      </c>
      <c r="C47" s="8">
        <v>5</v>
      </c>
      <c r="D47" s="69">
        <v>3</v>
      </c>
      <c r="E47" s="15">
        <f t="shared" si="1"/>
        <v>453</v>
      </c>
      <c r="F47" s="9">
        <v>1</v>
      </c>
      <c r="G47" s="10">
        <f t="shared" si="2"/>
        <v>46052</v>
      </c>
      <c r="H47" s="7" t="str">
        <f t="shared" si="3"/>
        <v>Fri</v>
      </c>
      <c r="I47" s="70" t="s">
        <v>662</v>
      </c>
      <c r="J47" s="18" t="s">
        <v>14</v>
      </c>
      <c r="K47" s="18" t="s">
        <v>32</v>
      </c>
      <c r="L47" s="11">
        <f t="shared" si="4"/>
        <v>3</v>
      </c>
      <c r="M47" cm="1">
        <f t="array" ref="M47">NameCode(J47)*E47</f>
        <v>844845</v>
      </c>
      <c r="N47" cm="1">
        <f t="array" ref="N47">NameCode(K47)*E47</f>
        <v>550395</v>
      </c>
    </row>
    <row r="48" spans="1:14" ht="15" thickBot="1" x14ac:dyDescent="0.4">
      <c r="A48" s="7">
        <f t="shared" si="0"/>
        <v>4542</v>
      </c>
      <c r="B48" s="8">
        <v>4</v>
      </c>
      <c r="C48" s="7">
        <v>5</v>
      </c>
      <c r="D48" s="69">
        <v>4</v>
      </c>
      <c r="E48" s="15">
        <f t="shared" si="1"/>
        <v>454</v>
      </c>
      <c r="F48" s="9">
        <v>2</v>
      </c>
      <c r="G48" s="10">
        <f t="shared" si="2"/>
        <v>46052</v>
      </c>
      <c r="H48" s="7" t="str">
        <f t="shared" si="3"/>
        <v>Fri</v>
      </c>
      <c r="I48" s="70" t="s">
        <v>662</v>
      </c>
      <c r="J48" s="18" t="s">
        <v>26</v>
      </c>
      <c r="K48" s="18" t="s">
        <v>18</v>
      </c>
      <c r="L48" s="11">
        <f t="shared" si="4"/>
        <v>3</v>
      </c>
      <c r="M48" cm="1">
        <f t="array" ref="M48">NameCode(J48)*E48</f>
        <v>604274</v>
      </c>
      <c r="N48" cm="1">
        <f t="array" ref="N48">NameCode(K48)*E48</f>
        <v>545708</v>
      </c>
    </row>
    <row r="49" spans="1:12" ht="15" thickBot="1" x14ac:dyDescent="0.4">
      <c r="A49" s="13"/>
      <c r="B49" s="14"/>
      <c r="C49" s="14"/>
      <c r="D49" s="14"/>
      <c r="E49" s="14"/>
      <c r="F49" s="14"/>
      <c r="G49" s="14"/>
      <c r="H49" s="14"/>
      <c r="I49" s="70"/>
      <c r="J49" s="14"/>
      <c r="K49" s="73" t="s">
        <v>30</v>
      </c>
      <c r="L49" s="73">
        <f>SUM(L5:L48)</f>
        <v>131</v>
      </c>
    </row>
  </sheetData>
  <autoFilter ref="A4:N49" xr:uid="{D3019850-3A41-43BC-BDC3-52ACFFF0EB44}">
    <sortState xmlns:xlrd2="http://schemas.microsoft.com/office/spreadsheetml/2017/richdata2" ref="A5:N49">
      <sortCondition ref="A4:A49"/>
    </sortState>
  </autoFilter>
  <conditionalFormatting sqref="A5:A48">
    <cfRule type="duplicateValues" dxfId="136" priority="59"/>
  </conditionalFormatting>
  <conditionalFormatting sqref="M5:N48">
    <cfRule type="duplicateValues" dxfId="135" priority="61"/>
    <cfRule type="duplicateValues" dxfId="134" priority="6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51EE-D58C-445D-9559-3230C6A6E6FE}">
  <dimension ref="A1:N49"/>
  <sheetViews>
    <sheetView workbookViewId="0">
      <selection activeCell="J11" sqref="J11"/>
    </sheetView>
  </sheetViews>
  <sheetFormatPr defaultRowHeight="14.5" x14ac:dyDescent="0.35"/>
  <cols>
    <col min="1" max="1" width="13.08984375" customWidth="1"/>
    <col min="2" max="3" width="16" customWidth="1"/>
    <col min="4" max="4" width="11.26953125" customWidth="1"/>
    <col min="5" max="5" width="11.26953125" hidden="1" customWidth="1"/>
    <col min="6" max="6" width="10.54296875" hidden="1" customWidth="1"/>
    <col min="7" max="7" width="10.08984375" customWidth="1"/>
    <col min="8" max="8" width="8.81640625" customWidth="1"/>
    <col min="9" max="9" width="21.7265625" customWidth="1"/>
    <col min="10" max="10" width="16.6328125" customWidth="1"/>
    <col min="11" max="11" width="15.54296875" customWidth="1"/>
    <col min="12" max="12" width="8.08984375" customWidth="1"/>
    <col min="13" max="14" width="8.7265625" hidden="1" customWidth="1"/>
  </cols>
  <sheetData>
    <row r="1" spans="1:14" ht="23.5" x14ac:dyDescent="0.35">
      <c r="A1" s="1" t="s">
        <v>668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ht="23.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4" ht="23.5" x14ac:dyDescent="0.35">
      <c r="A3" s="3" t="s">
        <v>1</v>
      </c>
      <c r="B3" s="4">
        <v>7</v>
      </c>
      <c r="C3" s="5">
        <v>46083</v>
      </c>
      <c r="D3" s="3"/>
      <c r="E3" s="3"/>
      <c r="F3" s="3"/>
      <c r="G3" s="3"/>
      <c r="H3" s="3"/>
      <c r="I3" s="3"/>
      <c r="J3" s="3"/>
      <c r="K3" s="3"/>
      <c r="L3" s="3"/>
    </row>
    <row r="4" spans="1:14" ht="29.5" thickBot="1" x14ac:dyDescent="0.4">
      <c r="A4" s="20" t="s">
        <v>2</v>
      </c>
      <c r="B4" s="21" t="s">
        <v>3</v>
      </c>
      <c r="C4" s="21" t="s">
        <v>4</v>
      </c>
      <c r="D4" s="21" t="s">
        <v>5</v>
      </c>
      <c r="E4" s="21" t="s">
        <v>31</v>
      </c>
      <c r="F4" s="21" t="s">
        <v>6</v>
      </c>
      <c r="G4" s="21" t="s">
        <v>1</v>
      </c>
      <c r="H4" s="21" t="s">
        <v>7</v>
      </c>
      <c r="I4" s="21" t="s">
        <v>8</v>
      </c>
      <c r="J4" s="22" t="s">
        <v>9</v>
      </c>
      <c r="K4" s="23" t="s">
        <v>10</v>
      </c>
      <c r="L4" s="21" t="s">
        <v>11</v>
      </c>
    </row>
    <row r="5" spans="1:14" ht="15" thickBot="1" x14ac:dyDescent="0.4">
      <c r="A5" s="7">
        <f t="shared" ref="A5:A48" si="0">E5*10+F5</f>
        <v>7411</v>
      </c>
      <c r="B5" s="8">
        <v>7</v>
      </c>
      <c r="C5" s="7">
        <v>4</v>
      </c>
      <c r="D5" s="69">
        <v>1</v>
      </c>
      <c r="E5" s="15">
        <f t="shared" ref="E5:E48" si="1">B5*100+C5*10+D5</f>
        <v>741</v>
      </c>
      <c r="F5" s="9">
        <v>1</v>
      </c>
      <c r="G5" s="10">
        <f>$C$3+(B5-$B$3)*7+ C5-2</f>
        <v>46085</v>
      </c>
      <c r="H5" s="7" t="str">
        <f t="shared" ref="H5:H48" si="2">TEXT(G5,"ddd")</f>
        <v>Wed</v>
      </c>
      <c r="I5" s="79" t="s">
        <v>661</v>
      </c>
      <c r="J5" s="19" t="s">
        <v>18</v>
      </c>
      <c r="K5" s="19" t="s">
        <v>25</v>
      </c>
      <c r="L5" s="11">
        <f t="shared" ref="L5:L48" si="3">COUNTIF(review2_code,A5)</f>
        <v>3</v>
      </c>
      <c r="M5" cm="1">
        <f t="array" ref="M5">NameCode(J5)*E5</f>
        <v>890682</v>
      </c>
      <c r="N5" cm="1">
        <f t="array" ref="N5">NameCode(K5)*E5</f>
        <v>744705</v>
      </c>
    </row>
    <row r="6" spans="1:14" ht="15" thickBot="1" x14ac:dyDescent="0.4">
      <c r="A6" s="7">
        <f t="shared" si="0"/>
        <v>7421</v>
      </c>
      <c r="B6" s="8">
        <v>7</v>
      </c>
      <c r="C6" s="7">
        <v>4</v>
      </c>
      <c r="D6" s="69">
        <v>2</v>
      </c>
      <c r="E6" s="15">
        <f t="shared" si="1"/>
        <v>742</v>
      </c>
      <c r="F6" s="9">
        <v>1</v>
      </c>
      <c r="G6" s="10">
        <f t="shared" ref="G6:G48" si="4">$C$3+(B6-$B$3)*7+ C6-2</f>
        <v>46085</v>
      </c>
      <c r="H6" s="7" t="str">
        <f t="shared" si="2"/>
        <v>Wed</v>
      </c>
      <c r="I6" s="80" t="s">
        <v>662</v>
      </c>
      <c r="J6" s="19" t="s">
        <v>12</v>
      </c>
      <c r="K6" s="19" t="s">
        <v>13</v>
      </c>
      <c r="L6" s="11">
        <f t="shared" si="3"/>
        <v>3</v>
      </c>
      <c r="M6" cm="1">
        <f t="array" ref="M6">NameCode(J6)*E6</f>
        <v>995022</v>
      </c>
      <c r="N6" cm="1">
        <f t="array" ref="N6">NameCode(K6)*E6</f>
        <v>1149358</v>
      </c>
    </row>
    <row r="7" spans="1:14" ht="15" thickBot="1" x14ac:dyDescent="0.4">
      <c r="A7" s="7">
        <f t="shared" si="0"/>
        <v>7431</v>
      </c>
      <c r="B7" s="8">
        <v>7</v>
      </c>
      <c r="C7" s="7">
        <v>4</v>
      </c>
      <c r="D7" s="69">
        <v>3</v>
      </c>
      <c r="E7" s="15">
        <f t="shared" si="1"/>
        <v>743</v>
      </c>
      <c r="F7" s="9">
        <v>1</v>
      </c>
      <c r="G7" s="10">
        <f t="shared" si="4"/>
        <v>46085</v>
      </c>
      <c r="H7" s="7" t="str">
        <f t="shared" si="2"/>
        <v>Wed</v>
      </c>
      <c r="I7" s="70" t="s">
        <v>663</v>
      </c>
      <c r="J7" s="17" t="s">
        <v>21</v>
      </c>
      <c r="K7" s="17" t="s">
        <v>20</v>
      </c>
      <c r="L7" s="11">
        <f t="shared" si="3"/>
        <v>3</v>
      </c>
      <c r="M7" cm="1">
        <f t="array" ref="M7">NameCode(J7)*E7</f>
        <v>1001564</v>
      </c>
      <c r="N7" cm="1">
        <f t="array" ref="N7">NameCode(K7)*E7</f>
        <v>1025340</v>
      </c>
    </row>
    <row r="8" spans="1:14" ht="15" thickBot="1" x14ac:dyDescent="0.4">
      <c r="A8" s="7">
        <f t="shared" si="0"/>
        <v>7441</v>
      </c>
      <c r="B8" s="8">
        <v>7</v>
      </c>
      <c r="C8" s="7">
        <v>4</v>
      </c>
      <c r="D8" s="69">
        <v>4</v>
      </c>
      <c r="E8" s="15">
        <f t="shared" si="1"/>
        <v>744</v>
      </c>
      <c r="F8" s="9">
        <v>1</v>
      </c>
      <c r="G8" s="10">
        <f t="shared" si="4"/>
        <v>46085</v>
      </c>
      <c r="H8" s="7" t="str">
        <f t="shared" si="2"/>
        <v>Wed</v>
      </c>
      <c r="I8" s="70" t="s">
        <v>663</v>
      </c>
      <c r="J8" s="17" t="s">
        <v>21</v>
      </c>
      <c r="K8" s="17" t="s">
        <v>20</v>
      </c>
      <c r="L8" s="11">
        <f t="shared" si="3"/>
        <v>3</v>
      </c>
      <c r="M8" cm="1">
        <f t="array" ref="M8">NameCode(J8)*E8</f>
        <v>1002912</v>
      </c>
      <c r="N8" cm="1">
        <f t="array" ref="N8">NameCode(K8)*E8</f>
        <v>1026720</v>
      </c>
    </row>
    <row r="9" spans="1:14" ht="15" thickBot="1" x14ac:dyDescent="0.4">
      <c r="A9" s="7">
        <f t="shared" si="0"/>
        <v>7442</v>
      </c>
      <c r="B9" s="8">
        <v>7</v>
      </c>
      <c r="C9" s="7">
        <v>4</v>
      </c>
      <c r="D9" s="69">
        <v>4</v>
      </c>
      <c r="E9" s="15">
        <f t="shared" si="1"/>
        <v>744</v>
      </c>
      <c r="F9" s="12">
        <v>2</v>
      </c>
      <c r="G9" s="10">
        <f t="shared" si="4"/>
        <v>46085</v>
      </c>
      <c r="H9" s="7" t="str">
        <f t="shared" si="2"/>
        <v>Wed</v>
      </c>
      <c r="I9" s="70" t="s">
        <v>662</v>
      </c>
      <c r="J9" s="18" t="s">
        <v>12</v>
      </c>
      <c r="K9" s="18" t="s">
        <v>13</v>
      </c>
      <c r="L9" s="11">
        <f t="shared" si="3"/>
        <v>3</v>
      </c>
      <c r="M9" cm="1">
        <f t="array" ref="M9">NameCode(J9)*E9</f>
        <v>997704</v>
      </c>
      <c r="N9" cm="1">
        <f t="array" ref="N9">NameCode(K9)*E9</f>
        <v>1152456</v>
      </c>
    </row>
    <row r="10" spans="1:14" ht="15" thickBot="1" x14ac:dyDescent="0.4">
      <c r="A10" s="7">
        <f t="shared" si="0"/>
        <v>7451</v>
      </c>
      <c r="B10" s="8">
        <v>7</v>
      </c>
      <c r="C10" s="7">
        <v>4</v>
      </c>
      <c r="D10" s="69">
        <v>5</v>
      </c>
      <c r="E10" s="15">
        <f t="shared" si="1"/>
        <v>745</v>
      </c>
      <c r="F10" s="9">
        <v>1</v>
      </c>
      <c r="G10" s="10">
        <f t="shared" si="4"/>
        <v>46085</v>
      </c>
      <c r="H10" s="7" t="str">
        <f t="shared" si="2"/>
        <v>Wed</v>
      </c>
      <c r="I10" s="70" t="s">
        <v>662</v>
      </c>
      <c r="J10" s="17" t="s">
        <v>14</v>
      </c>
      <c r="K10" s="17" t="s">
        <v>17</v>
      </c>
      <c r="L10" s="11">
        <f t="shared" si="3"/>
        <v>3</v>
      </c>
      <c r="M10" cm="1">
        <f t="array" ref="M10">NameCode(J10)*E10</f>
        <v>1389425</v>
      </c>
      <c r="N10" cm="1">
        <f t="array" ref="N10">NameCode(K10)*E10</f>
        <v>1186785</v>
      </c>
    </row>
    <row r="11" spans="1:14" ht="15" thickBot="1" x14ac:dyDescent="0.4">
      <c r="A11" s="7">
        <f t="shared" si="0"/>
        <v>7452</v>
      </c>
      <c r="B11" s="8">
        <v>7</v>
      </c>
      <c r="C11" s="7">
        <v>4</v>
      </c>
      <c r="D11" s="69">
        <v>5</v>
      </c>
      <c r="E11" s="15">
        <f t="shared" si="1"/>
        <v>745</v>
      </c>
      <c r="F11" s="9">
        <v>2</v>
      </c>
      <c r="G11" s="10">
        <f t="shared" si="4"/>
        <v>46085</v>
      </c>
      <c r="H11" s="7" t="str">
        <f t="shared" si="2"/>
        <v>Wed</v>
      </c>
      <c r="I11" s="70" t="s">
        <v>661</v>
      </c>
      <c r="J11" s="18" t="s">
        <v>18</v>
      </c>
      <c r="K11" s="18" t="s">
        <v>25</v>
      </c>
      <c r="L11" s="11">
        <f t="shared" si="3"/>
        <v>3</v>
      </c>
      <c r="M11" cm="1">
        <f t="array" ref="M11">NameCode(J11)*E11</f>
        <v>895490</v>
      </c>
      <c r="N11" cm="1">
        <f t="array" ref="N11">NameCode(K11)*E11</f>
        <v>748725</v>
      </c>
    </row>
    <row r="12" spans="1:14" ht="15" thickBot="1" x14ac:dyDescent="0.4">
      <c r="A12" s="7">
        <f t="shared" si="0"/>
        <v>7521</v>
      </c>
      <c r="B12" s="8">
        <v>7</v>
      </c>
      <c r="C12" s="7">
        <v>5</v>
      </c>
      <c r="D12" s="69">
        <v>2</v>
      </c>
      <c r="E12" s="15">
        <f t="shared" si="1"/>
        <v>752</v>
      </c>
      <c r="F12" s="9">
        <v>1</v>
      </c>
      <c r="G12" s="10">
        <f t="shared" si="4"/>
        <v>46086</v>
      </c>
      <c r="H12" s="7" t="str">
        <f t="shared" si="2"/>
        <v>Thu</v>
      </c>
      <c r="I12" s="70" t="s">
        <v>664</v>
      </c>
      <c r="J12" s="18" t="s">
        <v>23</v>
      </c>
      <c r="K12" s="18" t="s">
        <v>14</v>
      </c>
      <c r="L12" s="11">
        <f t="shared" si="3"/>
        <v>2</v>
      </c>
      <c r="M12" cm="1">
        <f t="array" ref="M12">NameCode(J12)*E12</f>
        <v>1360368</v>
      </c>
      <c r="N12" cm="1">
        <f t="array" ref="N12">NameCode(K12)*E12</f>
        <v>1402480</v>
      </c>
    </row>
    <row r="13" spans="1:14" ht="15" thickBot="1" x14ac:dyDescent="0.4">
      <c r="A13" s="7">
        <f t="shared" si="0"/>
        <v>7532</v>
      </c>
      <c r="B13" s="8">
        <v>7</v>
      </c>
      <c r="C13" s="7">
        <v>5</v>
      </c>
      <c r="D13" s="69">
        <v>3</v>
      </c>
      <c r="E13" s="15">
        <f t="shared" si="1"/>
        <v>753</v>
      </c>
      <c r="F13" s="9">
        <v>2</v>
      </c>
      <c r="G13" s="10">
        <f t="shared" si="4"/>
        <v>46086</v>
      </c>
      <c r="H13" s="7" t="str">
        <f t="shared" si="2"/>
        <v>Thu</v>
      </c>
      <c r="I13" s="70" t="s">
        <v>664</v>
      </c>
      <c r="J13" s="18" t="s">
        <v>23</v>
      </c>
      <c r="K13" s="18" t="s">
        <v>32</v>
      </c>
      <c r="L13" s="11">
        <f t="shared" si="3"/>
        <v>3</v>
      </c>
      <c r="M13" cm="1">
        <f t="array" ref="M13">NameCode(J13)*E13</f>
        <v>1362177</v>
      </c>
      <c r="N13" cm="1">
        <f t="array" ref="N13">NameCode(K13)*E13</f>
        <v>914895</v>
      </c>
    </row>
    <row r="14" spans="1:14" ht="15" thickBot="1" x14ac:dyDescent="0.4">
      <c r="A14" s="7">
        <f t="shared" si="0"/>
        <v>7533</v>
      </c>
      <c r="B14" s="8">
        <v>7</v>
      </c>
      <c r="C14" s="7">
        <v>5</v>
      </c>
      <c r="D14" s="69">
        <v>3</v>
      </c>
      <c r="E14" s="15">
        <f t="shared" si="1"/>
        <v>753</v>
      </c>
      <c r="F14" s="9">
        <v>3</v>
      </c>
      <c r="G14" s="10">
        <f t="shared" si="4"/>
        <v>46086</v>
      </c>
      <c r="H14" s="7" t="str">
        <f t="shared" si="2"/>
        <v>Thu</v>
      </c>
      <c r="I14" s="80" t="s">
        <v>665</v>
      </c>
      <c r="J14" s="19" t="s">
        <v>14</v>
      </c>
      <c r="K14" s="19" t="s">
        <v>17</v>
      </c>
      <c r="L14" s="11">
        <f t="shared" si="3"/>
        <v>3</v>
      </c>
      <c r="M14" cm="1">
        <f t="array" ref="M14">NameCode(J14)*E14</f>
        <v>1404345</v>
      </c>
      <c r="N14" cm="1">
        <f t="array" ref="N14">NameCode(K14)*E14</f>
        <v>1199529</v>
      </c>
    </row>
    <row r="15" spans="1:14" ht="15" thickBot="1" x14ac:dyDescent="0.4">
      <c r="A15" s="7">
        <f t="shared" si="0"/>
        <v>7543</v>
      </c>
      <c r="B15" s="8">
        <v>7</v>
      </c>
      <c r="C15" s="7">
        <v>5</v>
      </c>
      <c r="D15" s="69">
        <v>4</v>
      </c>
      <c r="E15" s="15">
        <f t="shared" si="1"/>
        <v>754</v>
      </c>
      <c r="F15" s="9">
        <v>3</v>
      </c>
      <c r="G15" s="10">
        <f t="shared" si="4"/>
        <v>46086</v>
      </c>
      <c r="H15" s="7" t="str">
        <f t="shared" si="2"/>
        <v>Thu</v>
      </c>
      <c r="I15" s="80" t="s">
        <v>666</v>
      </c>
      <c r="J15" s="19" t="s">
        <v>18</v>
      </c>
      <c r="K15" s="19" t="s">
        <v>32</v>
      </c>
      <c r="L15" s="11">
        <f t="shared" si="3"/>
        <v>3</v>
      </c>
      <c r="M15" cm="1">
        <f t="array" ref="M15">NameCode(J15)*E15</f>
        <v>906308</v>
      </c>
      <c r="N15" cm="1">
        <f t="array" ref="N15">NameCode(K15)*E15</f>
        <v>916110</v>
      </c>
    </row>
    <row r="16" spans="1:14" ht="15" thickBot="1" x14ac:dyDescent="0.4">
      <c r="A16" s="7">
        <f t="shared" si="0"/>
        <v>7544</v>
      </c>
      <c r="B16" s="8">
        <v>7</v>
      </c>
      <c r="C16" s="7">
        <v>5</v>
      </c>
      <c r="D16" s="69">
        <v>4</v>
      </c>
      <c r="E16" s="15">
        <f t="shared" si="1"/>
        <v>754</v>
      </c>
      <c r="F16" s="9">
        <v>4</v>
      </c>
      <c r="G16" s="10">
        <f t="shared" si="4"/>
        <v>46086</v>
      </c>
      <c r="H16" s="7" t="str">
        <f t="shared" si="2"/>
        <v>Thu</v>
      </c>
      <c r="I16" s="80" t="s">
        <v>664</v>
      </c>
      <c r="J16" s="19" t="s">
        <v>23</v>
      </c>
      <c r="K16" s="19" t="s">
        <v>26</v>
      </c>
      <c r="L16" s="11">
        <f t="shared" si="3"/>
        <v>3</v>
      </c>
      <c r="M16" cm="1">
        <f t="array" ref="M16">NameCode(J16)*E16</f>
        <v>1363986</v>
      </c>
      <c r="N16" cm="1">
        <f t="array" ref="N16">NameCode(K16)*E16</f>
        <v>1003574</v>
      </c>
    </row>
    <row r="17" spans="1:14" ht="15" thickBot="1" x14ac:dyDescent="0.4">
      <c r="A17" s="7">
        <f t="shared" si="0"/>
        <v>7551</v>
      </c>
      <c r="B17" s="8">
        <v>7</v>
      </c>
      <c r="C17" s="7">
        <v>5</v>
      </c>
      <c r="D17" s="69">
        <v>5</v>
      </c>
      <c r="E17" s="15">
        <f t="shared" si="1"/>
        <v>755</v>
      </c>
      <c r="F17" s="9">
        <v>1</v>
      </c>
      <c r="G17" s="10">
        <f t="shared" si="4"/>
        <v>46086</v>
      </c>
      <c r="H17" s="7" t="str">
        <f t="shared" si="2"/>
        <v>Thu</v>
      </c>
      <c r="I17" s="80" t="s">
        <v>664</v>
      </c>
      <c r="J17" s="19" t="s">
        <v>26</v>
      </c>
      <c r="K17" s="19" t="s">
        <v>24</v>
      </c>
      <c r="L17" s="11">
        <f t="shared" si="3"/>
        <v>3</v>
      </c>
      <c r="M17" cm="1">
        <f t="array" ref="M17">NameCode(J17)*E17</f>
        <v>1004905</v>
      </c>
      <c r="N17" cm="1">
        <f t="array" ref="N17">NameCode(K17)*E17</f>
        <v>1175535</v>
      </c>
    </row>
    <row r="18" spans="1:14" ht="15" thickBot="1" x14ac:dyDescent="0.4">
      <c r="A18" s="7">
        <f t="shared" si="0"/>
        <v>7552</v>
      </c>
      <c r="B18" s="8">
        <v>7</v>
      </c>
      <c r="C18" s="7">
        <v>5</v>
      </c>
      <c r="D18" s="69">
        <v>5</v>
      </c>
      <c r="E18" s="15">
        <f t="shared" si="1"/>
        <v>755</v>
      </c>
      <c r="F18" s="9">
        <v>2</v>
      </c>
      <c r="G18" s="10">
        <f t="shared" si="4"/>
        <v>46086</v>
      </c>
      <c r="H18" s="7" t="str">
        <f t="shared" si="2"/>
        <v>Thu</v>
      </c>
      <c r="I18" s="70" t="s">
        <v>666</v>
      </c>
      <c r="J18" s="18" t="s">
        <v>12</v>
      </c>
      <c r="K18" s="18" t="s">
        <v>17</v>
      </c>
      <c r="L18" s="11">
        <f t="shared" si="3"/>
        <v>3</v>
      </c>
      <c r="M18" cm="1">
        <f t="array" ref="M18">NameCode(J18)*E18</f>
        <v>1012455</v>
      </c>
      <c r="N18" cm="1">
        <f t="array" ref="N18">NameCode(K18)*E18</f>
        <v>1202715</v>
      </c>
    </row>
    <row r="19" spans="1:14" ht="15" thickBot="1" x14ac:dyDescent="0.4">
      <c r="A19" s="7">
        <f t="shared" si="0"/>
        <v>7553</v>
      </c>
      <c r="B19" s="8">
        <v>7</v>
      </c>
      <c r="C19" s="7">
        <v>5</v>
      </c>
      <c r="D19" s="69">
        <v>5</v>
      </c>
      <c r="E19" s="15">
        <f t="shared" si="1"/>
        <v>755</v>
      </c>
      <c r="F19" s="12">
        <v>3</v>
      </c>
      <c r="G19" s="10">
        <f t="shared" si="4"/>
        <v>46086</v>
      </c>
      <c r="H19" s="7" t="str">
        <f t="shared" si="2"/>
        <v>Thu</v>
      </c>
      <c r="I19" s="80" t="s">
        <v>665</v>
      </c>
      <c r="J19" s="19" t="s">
        <v>14</v>
      </c>
      <c r="K19" s="19" t="s">
        <v>13</v>
      </c>
      <c r="L19" s="11">
        <f t="shared" si="3"/>
        <v>3</v>
      </c>
      <c r="M19" cm="1">
        <f t="array" ref="M19">NameCode(J19)*E19</f>
        <v>1408075</v>
      </c>
      <c r="N19" cm="1">
        <f t="array" ref="N19">NameCode(K19)*E19</f>
        <v>1169495</v>
      </c>
    </row>
    <row r="20" spans="1:14" ht="15" thickBot="1" x14ac:dyDescent="0.4">
      <c r="A20" s="7">
        <f t="shared" si="0"/>
        <v>7554</v>
      </c>
      <c r="B20" s="8">
        <v>7</v>
      </c>
      <c r="C20" s="7">
        <v>5</v>
      </c>
      <c r="D20" s="69">
        <v>5</v>
      </c>
      <c r="E20" s="15">
        <f t="shared" si="1"/>
        <v>755</v>
      </c>
      <c r="F20" s="12">
        <v>4</v>
      </c>
      <c r="G20" s="10">
        <f t="shared" si="4"/>
        <v>46086</v>
      </c>
      <c r="H20" s="7" t="str">
        <f t="shared" si="2"/>
        <v>Thu</v>
      </c>
      <c r="I20" s="80" t="s">
        <v>667</v>
      </c>
      <c r="J20" s="19" t="s">
        <v>18</v>
      </c>
      <c r="K20" s="71" t="s">
        <v>32</v>
      </c>
      <c r="L20" s="11">
        <f t="shared" si="3"/>
        <v>3</v>
      </c>
      <c r="M20" cm="1">
        <f t="array" ref="M20">NameCode(J20)*E20</f>
        <v>907510</v>
      </c>
      <c r="N20" cm="1">
        <f t="array" ref="N20">NameCode(K20)*E20</f>
        <v>917325</v>
      </c>
    </row>
    <row r="21" spans="1:14" ht="15" thickBot="1" x14ac:dyDescent="0.4">
      <c r="A21" s="7">
        <f t="shared" si="0"/>
        <v>7611</v>
      </c>
      <c r="B21" s="8">
        <v>7</v>
      </c>
      <c r="C21" s="8">
        <v>6</v>
      </c>
      <c r="D21" s="69">
        <v>1</v>
      </c>
      <c r="E21" s="15">
        <f t="shared" si="1"/>
        <v>761</v>
      </c>
      <c r="F21" s="9">
        <v>1</v>
      </c>
      <c r="G21" s="10">
        <f t="shared" si="4"/>
        <v>46087</v>
      </c>
      <c r="H21" s="7" t="str">
        <f t="shared" si="2"/>
        <v>Fri</v>
      </c>
      <c r="I21" s="70" t="s">
        <v>662</v>
      </c>
      <c r="J21" s="18" t="s">
        <v>23</v>
      </c>
      <c r="K21" s="18" t="s">
        <v>12</v>
      </c>
      <c r="L21" s="11">
        <f t="shared" si="3"/>
        <v>3</v>
      </c>
      <c r="M21" cm="1">
        <f t="array" ref="M21">NameCode(J21)*E21</f>
        <v>1376649</v>
      </c>
      <c r="N21" cm="1">
        <f t="array" ref="N21">NameCode(K21)*E21</f>
        <v>1020501</v>
      </c>
    </row>
    <row r="22" spans="1:14" ht="15" thickBot="1" x14ac:dyDescent="0.4">
      <c r="A22" s="7">
        <f t="shared" si="0"/>
        <v>7613</v>
      </c>
      <c r="B22" s="8">
        <v>7</v>
      </c>
      <c r="C22" s="8">
        <v>6</v>
      </c>
      <c r="D22" s="69">
        <v>1</v>
      </c>
      <c r="E22" s="15">
        <f t="shared" si="1"/>
        <v>761</v>
      </c>
      <c r="F22" s="9">
        <v>3</v>
      </c>
      <c r="G22" s="10">
        <f t="shared" si="4"/>
        <v>46087</v>
      </c>
      <c r="H22" s="7" t="str">
        <f t="shared" si="2"/>
        <v>Fri</v>
      </c>
      <c r="I22" s="80" t="s">
        <v>666</v>
      </c>
      <c r="J22" s="16" t="s">
        <v>13</v>
      </c>
      <c r="K22" s="16" t="s">
        <v>25</v>
      </c>
      <c r="L22" s="11">
        <f t="shared" si="3"/>
        <v>3</v>
      </c>
      <c r="M22" cm="1">
        <f t="array" ref="M22">NameCode(J22)*E22</f>
        <v>1178789</v>
      </c>
      <c r="N22" cm="1">
        <f t="array" ref="N22">NameCode(K22)*E22</f>
        <v>764805</v>
      </c>
    </row>
    <row r="23" spans="1:14" ht="15" thickBot="1" x14ac:dyDescent="0.4">
      <c r="A23" s="7">
        <f t="shared" si="0"/>
        <v>7621</v>
      </c>
      <c r="B23" s="8">
        <v>7</v>
      </c>
      <c r="C23" s="8">
        <v>6</v>
      </c>
      <c r="D23" s="69">
        <v>2</v>
      </c>
      <c r="E23" s="15">
        <f t="shared" si="1"/>
        <v>762</v>
      </c>
      <c r="F23" s="9">
        <v>1</v>
      </c>
      <c r="G23" s="10">
        <f t="shared" si="4"/>
        <v>46087</v>
      </c>
      <c r="H23" s="7" t="str">
        <f t="shared" si="2"/>
        <v>Fri</v>
      </c>
      <c r="I23" s="80" t="s">
        <v>662</v>
      </c>
      <c r="J23" s="19" t="s">
        <v>23</v>
      </c>
      <c r="K23" s="19" t="s">
        <v>12</v>
      </c>
      <c r="L23" s="11">
        <f t="shared" si="3"/>
        <v>3</v>
      </c>
      <c r="M23" cm="1">
        <f t="array" ref="M23">NameCode(J23)*E23</f>
        <v>1378458</v>
      </c>
      <c r="N23" cm="1">
        <f t="array" ref="N23">NameCode(K23)*E23</f>
        <v>1021842</v>
      </c>
    </row>
    <row r="24" spans="1:14" ht="15" thickBot="1" x14ac:dyDescent="0.4">
      <c r="A24" s="7">
        <f t="shared" si="0"/>
        <v>7631</v>
      </c>
      <c r="B24" s="8">
        <v>7</v>
      </c>
      <c r="C24" s="8">
        <v>6</v>
      </c>
      <c r="D24" s="69">
        <v>3</v>
      </c>
      <c r="E24" s="15">
        <f t="shared" si="1"/>
        <v>763</v>
      </c>
      <c r="F24" s="9">
        <v>1</v>
      </c>
      <c r="G24" s="10">
        <f t="shared" si="4"/>
        <v>46087</v>
      </c>
      <c r="H24" s="7" t="str">
        <f t="shared" si="2"/>
        <v>Fri</v>
      </c>
      <c r="I24" s="80" t="s">
        <v>662</v>
      </c>
      <c r="J24" s="19" t="s">
        <v>23</v>
      </c>
      <c r="K24" s="19" t="s">
        <v>24</v>
      </c>
      <c r="L24" s="11">
        <f t="shared" si="3"/>
        <v>3</v>
      </c>
      <c r="M24" cm="1">
        <f t="array" ref="M24">NameCode(J24)*E24</f>
        <v>1380267</v>
      </c>
      <c r="N24" cm="1">
        <f t="array" ref="N24">NameCode(K24)*E24</f>
        <v>1187991</v>
      </c>
    </row>
    <row r="25" spans="1:14" ht="15" thickBot="1" x14ac:dyDescent="0.4">
      <c r="A25" s="7">
        <f t="shared" si="0"/>
        <v>7641</v>
      </c>
      <c r="B25" s="8">
        <v>7</v>
      </c>
      <c r="C25" s="7">
        <v>6</v>
      </c>
      <c r="D25" s="69">
        <v>4</v>
      </c>
      <c r="E25" s="15">
        <f t="shared" si="1"/>
        <v>764</v>
      </c>
      <c r="F25" s="9">
        <v>1</v>
      </c>
      <c r="G25" s="10">
        <f t="shared" si="4"/>
        <v>46087</v>
      </c>
      <c r="H25" s="7" t="str">
        <f t="shared" si="2"/>
        <v>Fri</v>
      </c>
      <c r="I25" s="80" t="s">
        <v>666</v>
      </c>
      <c r="J25" s="19" t="s">
        <v>13</v>
      </c>
      <c r="K25" s="19" t="s">
        <v>25</v>
      </c>
      <c r="L25" s="11">
        <f t="shared" si="3"/>
        <v>3</v>
      </c>
      <c r="M25" cm="1">
        <f t="array" ref="M25">NameCode(J25)*E25</f>
        <v>1183436</v>
      </c>
      <c r="N25" cm="1">
        <f t="array" ref="N25">NameCode(K25)*E25</f>
        <v>767820</v>
      </c>
    </row>
    <row r="26" spans="1:14" ht="15" thickBot="1" x14ac:dyDescent="0.4">
      <c r="A26" s="7">
        <f t="shared" si="0"/>
        <v>7642</v>
      </c>
      <c r="B26" s="8">
        <v>7</v>
      </c>
      <c r="C26" s="8">
        <v>6</v>
      </c>
      <c r="D26" s="69">
        <v>4</v>
      </c>
      <c r="E26" s="15">
        <f t="shared" si="1"/>
        <v>764</v>
      </c>
      <c r="F26" s="9">
        <v>2</v>
      </c>
      <c r="G26" s="10">
        <f t="shared" si="4"/>
        <v>46087</v>
      </c>
      <c r="H26" s="7" t="str">
        <f t="shared" si="2"/>
        <v>Fri</v>
      </c>
      <c r="I26" s="80" t="s">
        <v>662</v>
      </c>
      <c r="J26" s="16" t="s">
        <v>23</v>
      </c>
      <c r="K26" s="16" t="s">
        <v>19</v>
      </c>
      <c r="L26" s="11">
        <f t="shared" si="3"/>
        <v>3</v>
      </c>
      <c r="M26" cm="1">
        <f t="array" ref="M26">NameCode(J26)*E26</f>
        <v>1382076</v>
      </c>
      <c r="N26" cm="1">
        <f t="array" ref="N26">NameCode(K26)*E26</f>
        <v>773168</v>
      </c>
    </row>
    <row r="27" spans="1:14" ht="15" thickBot="1" x14ac:dyDescent="0.4">
      <c r="A27" s="7">
        <f t="shared" si="0"/>
        <v>7651</v>
      </c>
      <c r="B27" s="8">
        <v>7</v>
      </c>
      <c r="C27" s="7">
        <v>6</v>
      </c>
      <c r="D27" s="69">
        <v>5</v>
      </c>
      <c r="E27" s="15">
        <f t="shared" si="1"/>
        <v>765</v>
      </c>
      <c r="F27" s="9">
        <v>1</v>
      </c>
      <c r="G27" s="10">
        <f t="shared" si="4"/>
        <v>46087</v>
      </c>
      <c r="H27" s="7" t="str">
        <f t="shared" si="2"/>
        <v>Fri</v>
      </c>
      <c r="I27" s="80" t="s">
        <v>661</v>
      </c>
      <c r="J27" s="19" t="s">
        <v>12</v>
      </c>
      <c r="K27" s="19" t="s">
        <v>26</v>
      </c>
      <c r="L27" s="11">
        <f t="shared" si="3"/>
        <v>3</v>
      </c>
      <c r="M27" cm="1">
        <f t="array" ref="M27">NameCode(J27)*E27</f>
        <v>1025865</v>
      </c>
      <c r="N27" cm="1">
        <f t="array" ref="N27">NameCode(K27)*E27</f>
        <v>1018215</v>
      </c>
    </row>
    <row r="28" spans="1:14" ht="15" thickBot="1" x14ac:dyDescent="0.4">
      <c r="A28" s="7">
        <f t="shared" si="0"/>
        <v>7652</v>
      </c>
      <c r="B28" s="8">
        <v>7</v>
      </c>
      <c r="C28" s="7">
        <v>6</v>
      </c>
      <c r="D28" s="69">
        <v>5</v>
      </c>
      <c r="E28" s="15">
        <f t="shared" si="1"/>
        <v>765</v>
      </c>
      <c r="F28" s="9">
        <v>2</v>
      </c>
      <c r="G28" s="10">
        <f t="shared" si="4"/>
        <v>46087</v>
      </c>
      <c r="H28" s="7" t="str">
        <f t="shared" si="2"/>
        <v>Fri</v>
      </c>
      <c r="I28" s="80" t="s">
        <v>662</v>
      </c>
      <c r="J28" s="19" t="s">
        <v>14</v>
      </c>
      <c r="K28" s="19" t="s">
        <v>19</v>
      </c>
      <c r="L28" s="11">
        <f t="shared" si="3"/>
        <v>3</v>
      </c>
      <c r="M28" cm="1">
        <f t="array" ref="M28">NameCode(J28)*E28</f>
        <v>1426725</v>
      </c>
      <c r="N28" cm="1">
        <f t="array" ref="N28">NameCode(K28)*E28</f>
        <v>774180</v>
      </c>
    </row>
    <row r="29" spans="1:14" ht="15" thickBot="1" x14ac:dyDescent="0.4">
      <c r="A29" s="7">
        <f t="shared" si="0"/>
        <v>8121</v>
      </c>
      <c r="B29" s="8">
        <v>8</v>
      </c>
      <c r="C29" s="7">
        <v>1</v>
      </c>
      <c r="D29" s="69">
        <v>2</v>
      </c>
      <c r="E29" s="15">
        <f t="shared" si="1"/>
        <v>812</v>
      </c>
      <c r="F29" s="9">
        <v>1</v>
      </c>
      <c r="G29" s="10">
        <f t="shared" si="4"/>
        <v>46089</v>
      </c>
      <c r="H29" s="7" t="str">
        <f t="shared" si="2"/>
        <v>Sun</v>
      </c>
      <c r="I29" s="80" t="s">
        <v>662</v>
      </c>
      <c r="J29" s="19" t="s">
        <v>12</v>
      </c>
      <c r="K29" s="19" t="s">
        <v>24</v>
      </c>
      <c r="L29" s="11">
        <f t="shared" si="3"/>
        <v>3</v>
      </c>
      <c r="M29" cm="1">
        <f t="array" ref="M29">NameCode(J29)*E29</f>
        <v>1088892</v>
      </c>
      <c r="N29" cm="1">
        <f t="array" ref="N29">NameCode(K29)*E29</f>
        <v>1264284</v>
      </c>
    </row>
    <row r="30" spans="1:14" ht="15" thickBot="1" x14ac:dyDescent="0.4">
      <c r="A30" s="7">
        <f t="shared" si="0"/>
        <v>8141</v>
      </c>
      <c r="B30" s="8">
        <v>8</v>
      </c>
      <c r="C30" s="7">
        <v>1</v>
      </c>
      <c r="D30" s="69">
        <v>4</v>
      </c>
      <c r="E30" s="15">
        <f t="shared" si="1"/>
        <v>814</v>
      </c>
      <c r="F30" s="9">
        <v>1</v>
      </c>
      <c r="G30" s="10">
        <f t="shared" si="4"/>
        <v>46089</v>
      </c>
      <c r="H30" s="7" t="str">
        <f t="shared" si="2"/>
        <v>Sun</v>
      </c>
      <c r="I30" s="70" t="s">
        <v>662</v>
      </c>
      <c r="J30" s="18" t="s">
        <v>13</v>
      </c>
      <c r="K30" s="18" t="s">
        <v>32</v>
      </c>
      <c r="L30" s="11">
        <f t="shared" si="3"/>
        <v>3</v>
      </c>
      <c r="M30" cm="1">
        <f t="array" ref="M30">NameCode(J30)*E30</f>
        <v>1260886</v>
      </c>
      <c r="N30" cm="1">
        <f t="array" ref="N30">NameCode(K30)*E30</f>
        <v>989010</v>
      </c>
    </row>
    <row r="31" spans="1:14" ht="15" thickBot="1" x14ac:dyDescent="0.4">
      <c r="A31" s="7">
        <f t="shared" si="0"/>
        <v>8151</v>
      </c>
      <c r="B31" s="8">
        <v>8</v>
      </c>
      <c r="C31" s="7">
        <v>1</v>
      </c>
      <c r="D31" s="69">
        <v>5</v>
      </c>
      <c r="E31" s="15">
        <f t="shared" si="1"/>
        <v>815</v>
      </c>
      <c r="F31" s="9">
        <v>1</v>
      </c>
      <c r="G31" s="10">
        <f t="shared" si="4"/>
        <v>46089</v>
      </c>
      <c r="H31" s="7" t="str">
        <f t="shared" si="2"/>
        <v>Sun</v>
      </c>
      <c r="I31" s="70" t="s">
        <v>662</v>
      </c>
      <c r="J31" s="18" t="s">
        <v>13</v>
      </c>
      <c r="K31" s="18" t="s">
        <v>32</v>
      </c>
      <c r="L31" s="11">
        <f t="shared" si="3"/>
        <v>3</v>
      </c>
      <c r="M31" cm="1">
        <f t="array" ref="M31">NameCode(J31)*E31</f>
        <v>1262435</v>
      </c>
      <c r="N31" cm="1">
        <f t="array" ref="N31">NameCode(K31)*E31</f>
        <v>990225</v>
      </c>
    </row>
    <row r="32" spans="1:14" ht="15" thickBot="1" x14ac:dyDescent="0.4">
      <c r="A32" s="7">
        <f t="shared" si="0"/>
        <v>8212</v>
      </c>
      <c r="B32" s="8">
        <v>8</v>
      </c>
      <c r="C32" s="7">
        <v>2</v>
      </c>
      <c r="D32" s="69">
        <v>1</v>
      </c>
      <c r="E32" s="15">
        <f t="shared" si="1"/>
        <v>821</v>
      </c>
      <c r="F32" s="9">
        <v>2</v>
      </c>
      <c r="G32" s="10">
        <f t="shared" si="4"/>
        <v>46090</v>
      </c>
      <c r="H32" s="7" t="str">
        <f t="shared" si="2"/>
        <v>Mon</v>
      </c>
      <c r="I32" s="70" t="s">
        <v>661</v>
      </c>
      <c r="J32" s="17" t="s">
        <v>12</v>
      </c>
      <c r="K32" s="17" t="s">
        <v>17</v>
      </c>
      <c r="L32" s="11">
        <f t="shared" si="3"/>
        <v>3</v>
      </c>
      <c r="M32" cm="1">
        <f t="array" ref="M32">NameCode(J32)*E32</f>
        <v>1100961</v>
      </c>
      <c r="N32" cm="1">
        <f t="array" ref="N32">NameCode(K32)*E32</f>
        <v>1307853</v>
      </c>
    </row>
    <row r="33" spans="1:14" ht="15" thickBot="1" x14ac:dyDescent="0.4">
      <c r="A33" s="7">
        <f t="shared" si="0"/>
        <v>8223</v>
      </c>
      <c r="B33" s="8">
        <v>8</v>
      </c>
      <c r="C33" s="7">
        <v>2</v>
      </c>
      <c r="D33" s="69">
        <v>2</v>
      </c>
      <c r="E33" s="15">
        <f t="shared" si="1"/>
        <v>822</v>
      </c>
      <c r="F33" s="12">
        <v>3</v>
      </c>
      <c r="G33" s="10">
        <f t="shared" si="4"/>
        <v>46090</v>
      </c>
      <c r="H33" s="7" t="str">
        <f t="shared" si="2"/>
        <v>Mon</v>
      </c>
      <c r="I33" s="70" t="s">
        <v>662</v>
      </c>
      <c r="J33" s="18" t="s">
        <v>14</v>
      </c>
      <c r="K33" s="18" t="s">
        <v>17</v>
      </c>
      <c r="L33" s="11">
        <f t="shared" si="3"/>
        <v>3</v>
      </c>
      <c r="M33" cm="1">
        <f t="array" ref="M33">NameCode(J33)*E33</f>
        <v>1533030</v>
      </c>
      <c r="N33" cm="1">
        <f t="array" ref="N33">NameCode(K33)*E33</f>
        <v>1309446</v>
      </c>
    </row>
    <row r="34" spans="1:14" ht="15" thickBot="1" x14ac:dyDescent="0.4">
      <c r="A34" s="7">
        <f t="shared" si="0"/>
        <v>8231</v>
      </c>
      <c r="B34" s="8">
        <v>8</v>
      </c>
      <c r="C34" s="7">
        <v>2</v>
      </c>
      <c r="D34" s="69">
        <v>3</v>
      </c>
      <c r="E34" s="15">
        <f t="shared" si="1"/>
        <v>823</v>
      </c>
      <c r="F34" s="9">
        <v>1</v>
      </c>
      <c r="G34" s="10">
        <f t="shared" si="4"/>
        <v>46090</v>
      </c>
      <c r="H34" s="7" t="str">
        <f t="shared" si="2"/>
        <v>Mon</v>
      </c>
      <c r="I34" s="70" t="s">
        <v>662</v>
      </c>
      <c r="J34" s="18" t="s">
        <v>14</v>
      </c>
      <c r="K34" s="18" t="s">
        <v>17</v>
      </c>
      <c r="L34" s="11">
        <f t="shared" si="3"/>
        <v>3</v>
      </c>
      <c r="M34" cm="1">
        <f t="array" ref="M34">NameCode(J34)*E34</f>
        <v>1534895</v>
      </c>
      <c r="N34" cm="1">
        <f t="array" ref="N34">NameCode(K34)*E34</f>
        <v>1311039</v>
      </c>
    </row>
    <row r="35" spans="1:14" ht="15" thickBot="1" x14ac:dyDescent="0.4">
      <c r="A35" s="7">
        <f t="shared" si="0"/>
        <v>8232</v>
      </c>
      <c r="B35" s="8">
        <v>8</v>
      </c>
      <c r="C35" s="7">
        <v>2</v>
      </c>
      <c r="D35" s="69">
        <v>3</v>
      </c>
      <c r="E35" s="15">
        <f t="shared" si="1"/>
        <v>823</v>
      </c>
      <c r="F35" s="9">
        <v>2</v>
      </c>
      <c r="G35" s="10">
        <f t="shared" si="4"/>
        <v>46090</v>
      </c>
      <c r="H35" s="7" t="str">
        <f t="shared" si="2"/>
        <v>Mon</v>
      </c>
      <c r="I35" s="70" t="s">
        <v>661</v>
      </c>
      <c r="J35" s="18" t="s">
        <v>12</v>
      </c>
      <c r="K35" s="18" t="s">
        <v>32</v>
      </c>
      <c r="L35" s="11">
        <f t="shared" si="3"/>
        <v>3</v>
      </c>
      <c r="M35" cm="1">
        <f t="array" ref="M35">NameCode(J35)*E35</f>
        <v>1103643</v>
      </c>
      <c r="N35" cm="1">
        <f t="array" ref="N35">NameCode(K35)*E35</f>
        <v>999945</v>
      </c>
    </row>
    <row r="36" spans="1:14" ht="15" thickBot="1" x14ac:dyDescent="0.4">
      <c r="A36" s="7">
        <f t="shared" si="0"/>
        <v>8243</v>
      </c>
      <c r="B36" s="8">
        <v>8</v>
      </c>
      <c r="C36" s="7">
        <v>2</v>
      </c>
      <c r="D36" s="69">
        <v>4</v>
      </c>
      <c r="E36" s="15">
        <f t="shared" si="1"/>
        <v>824</v>
      </c>
      <c r="F36" s="9">
        <v>3</v>
      </c>
      <c r="G36" s="10">
        <f t="shared" si="4"/>
        <v>46090</v>
      </c>
      <c r="H36" s="7" t="str">
        <f t="shared" si="2"/>
        <v>Mon</v>
      </c>
      <c r="I36" s="70" t="s">
        <v>661</v>
      </c>
      <c r="J36" s="18" t="s">
        <v>12</v>
      </c>
      <c r="K36" s="18" t="s">
        <v>32</v>
      </c>
      <c r="L36" s="11">
        <f t="shared" si="3"/>
        <v>3</v>
      </c>
      <c r="M36" cm="1">
        <f t="array" ref="M36">NameCode(J36)*E36</f>
        <v>1104984</v>
      </c>
      <c r="N36" cm="1">
        <f t="array" ref="N36">NameCode(K36)*E36</f>
        <v>1001160</v>
      </c>
    </row>
    <row r="37" spans="1:14" ht="15" thickBot="1" x14ac:dyDescent="0.4">
      <c r="A37" s="7">
        <f t="shared" si="0"/>
        <v>8244</v>
      </c>
      <c r="B37" s="8">
        <v>8</v>
      </c>
      <c r="C37" s="7">
        <v>2</v>
      </c>
      <c r="D37" s="69">
        <v>4</v>
      </c>
      <c r="E37" s="15">
        <f t="shared" si="1"/>
        <v>824</v>
      </c>
      <c r="F37" s="9">
        <v>4</v>
      </c>
      <c r="G37" s="10">
        <f t="shared" si="4"/>
        <v>46090</v>
      </c>
      <c r="H37" s="7" t="str">
        <f t="shared" si="2"/>
        <v>Mon</v>
      </c>
      <c r="I37" s="70" t="s">
        <v>662</v>
      </c>
      <c r="J37" s="18" t="s">
        <v>18</v>
      </c>
      <c r="K37" s="18" t="s">
        <v>26</v>
      </c>
      <c r="L37" s="11">
        <f t="shared" si="3"/>
        <v>3</v>
      </c>
      <c r="M37" cm="1">
        <f t="array" ref="M37">NameCode(J37)*E37</f>
        <v>990448</v>
      </c>
      <c r="N37" cm="1">
        <f t="array" ref="N37">NameCode(K37)*E37</f>
        <v>1096744</v>
      </c>
    </row>
    <row r="38" spans="1:14" ht="15" thickBot="1" x14ac:dyDescent="0.4">
      <c r="A38" s="7">
        <f t="shared" si="0"/>
        <v>8312</v>
      </c>
      <c r="B38" s="8">
        <v>8</v>
      </c>
      <c r="C38" s="7">
        <v>3</v>
      </c>
      <c r="D38" s="69">
        <v>1</v>
      </c>
      <c r="E38" s="15">
        <f t="shared" si="1"/>
        <v>831</v>
      </c>
      <c r="F38" s="9">
        <v>2</v>
      </c>
      <c r="G38" s="10">
        <f t="shared" si="4"/>
        <v>46091</v>
      </c>
      <c r="H38" s="7" t="str">
        <f t="shared" si="2"/>
        <v>Tue</v>
      </c>
      <c r="I38" s="70" t="s">
        <v>662</v>
      </c>
      <c r="J38" s="18" t="s">
        <v>13</v>
      </c>
      <c r="K38" s="18" t="s">
        <v>24</v>
      </c>
      <c r="L38" s="11">
        <f t="shared" si="3"/>
        <v>3</v>
      </c>
      <c r="M38" cm="1">
        <f t="array" ref="M38">NameCode(J38)*E38</f>
        <v>1287219</v>
      </c>
      <c r="N38" cm="1">
        <f t="array" ref="N38">NameCode(K38)*E38</f>
        <v>1293867</v>
      </c>
    </row>
    <row r="39" spans="1:14" ht="15" thickBot="1" x14ac:dyDescent="0.4">
      <c r="A39" s="7">
        <f t="shared" si="0"/>
        <v>8321</v>
      </c>
      <c r="B39" s="8">
        <v>8</v>
      </c>
      <c r="C39" s="7">
        <v>3</v>
      </c>
      <c r="D39" s="69">
        <v>2</v>
      </c>
      <c r="E39" s="15">
        <f t="shared" si="1"/>
        <v>832</v>
      </c>
      <c r="F39" s="9">
        <v>1</v>
      </c>
      <c r="G39" s="10">
        <f t="shared" si="4"/>
        <v>46091</v>
      </c>
      <c r="H39" s="7" t="str">
        <f t="shared" si="2"/>
        <v>Tue</v>
      </c>
      <c r="I39" s="70" t="s">
        <v>661</v>
      </c>
      <c r="J39" s="18" t="s">
        <v>12</v>
      </c>
      <c r="K39" s="18" t="s">
        <v>76</v>
      </c>
      <c r="L39" s="11">
        <f t="shared" si="3"/>
        <v>3</v>
      </c>
      <c r="M39" cm="1">
        <f t="array" ref="M39">NameCode(J39)*E39</f>
        <v>1115712</v>
      </c>
      <c r="N39" cm="1">
        <f t="array" ref="N39">NameCode(K39)*E39</f>
        <v>1688960</v>
      </c>
    </row>
    <row r="40" spans="1:14" ht="15" thickBot="1" x14ac:dyDescent="0.4">
      <c r="A40" s="7">
        <f t="shared" si="0"/>
        <v>8332</v>
      </c>
      <c r="B40" s="8">
        <v>8</v>
      </c>
      <c r="C40" s="7">
        <v>3</v>
      </c>
      <c r="D40" s="69">
        <v>3</v>
      </c>
      <c r="E40" s="15">
        <f t="shared" si="1"/>
        <v>833</v>
      </c>
      <c r="F40" s="9">
        <v>2</v>
      </c>
      <c r="G40" s="10">
        <f t="shared" si="4"/>
        <v>46091</v>
      </c>
      <c r="H40" s="7" t="str">
        <f t="shared" si="2"/>
        <v>Tue</v>
      </c>
      <c r="I40" s="70" t="s">
        <v>661</v>
      </c>
      <c r="J40" s="17" t="s">
        <v>76</v>
      </c>
      <c r="K40" s="17" t="s">
        <v>24</v>
      </c>
      <c r="L40" s="11">
        <f t="shared" si="3"/>
        <v>3</v>
      </c>
      <c r="M40" cm="1">
        <f t="array" ref="M40">NameCode(J40)*E40</f>
        <v>1690990</v>
      </c>
      <c r="N40" cm="1">
        <f t="array" ref="N40">NameCode(K40)*E40</f>
        <v>1296981</v>
      </c>
    </row>
    <row r="41" spans="1:14" ht="15" thickBot="1" x14ac:dyDescent="0.4">
      <c r="A41" s="7">
        <f t="shared" si="0"/>
        <v>8341</v>
      </c>
      <c r="B41" s="8">
        <v>8</v>
      </c>
      <c r="C41" s="7">
        <v>3</v>
      </c>
      <c r="D41" s="69">
        <v>4</v>
      </c>
      <c r="E41" s="15">
        <f t="shared" si="1"/>
        <v>834</v>
      </c>
      <c r="F41" s="9">
        <v>1</v>
      </c>
      <c r="G41" s="10">
        <f t="shared" si="4"/>
        <v>46091</v>
      </c>
      <c r="H41" s="7" t="str">
        <f t="shared" si="2"/>
        <v>Tue</v>
      </c>
      <c r="I41" s="70" t="s">
        <v>662</v>
      </c>
      <c r="J41" s="18" t="s">
        <v>13</v>
      </c>
      <c r="K41" s="18" t="s">
        <v>76</v>
      </c>
      <c r="L41" s="11">
        <f t="shared" si="3"/>
        <v>3</v>
      </c>
      <c r="M41" cm="1">
        <f t="array" ref="M41">NameCode(J41)*E41</f>
        <v>1291866</v>
      </c>
      <c r="N41" cm="1">
        <f t="array" ref="N41">NameCode(K41)*E41</f>
        <v>1693020</v>
      </c>
    </row>
    <row r="42" spans="1:14" ht="15" thickBot="1" x14ac:dyDescent="0.4">
      <c r="A42" s="7">
        <f t="shared" si="0"/>
        <v>8342</v>
      </c>
      <c r="B42" s="8">
        <v>8</v>
      </c>
      <c r="C42" s="7">
        <v>3</v>
      </c>
      <c r="D42" s="69">
        <v>4</v>
      </c>
      <c r="E42" s="15">
        <f t="shared" si="1"/>
        <v>834</v>
      </c>
      <c r="F42" s="9">
        <v>2</v>
      </c>
      <c r="G42" s="10">
        <f t="shared" si="4"/>
        <v>46091</v>
      </c>
      <c r="H42" s="7" t="str">
        <f t="shared" si="2"/>
        <v>Tue</v>
      </c>
      <c r="I42" s="70" t="s">
        <v>661</v>
      </c>
      <c r="J42" s="17" t="s">
        <v>19</v>
      </c>
      <c r="K42" s="17" t="s">
        <v>18</v>
      </c>
      <c r="L42" s="11">
        <f t="shared" si="3"/>
        <v>3</v>
      </c>
      <c r="M42" cm="1">
        <f t="array" ref="M42">NameCode(J42)*E42</f>
        <v>844008</v>
      </c>
      <c r="N42" cm="1">
        <f t="array" ref="N42">NameCode(K42)*E42</f>
        <v>1002468</v>
      </c>
    </row>
    <row r="43" spans="1:14" ht="15" thickBot="1" x14ac:dyDescent="0.4">
      <c r="A43" s="7">
        <f t="shared" si="0"/>
        <v>8351</v>
      </c>
      <c r="B43" s="8">
        <v>8</v>
      </c>
      <c r="C43" s="7">
        <v>3</v>
      </c>
      <c r="D43" s="69">
        <v>5</v>
      </c>
      <c r="E43" s="15">
        <f t="shared" si="1"/>
        <v>835</v>
      </c>
      <c r="F43" s="9">
        <v>1</v>
      </c>
      <c r="G43" s="10">
        <f t="shared" si="4"/>
        <v>46091</v>
      </c>
      <c r="H43" s="7" t="str">
        <f t="shared" si="2"/>
        <v>Tue</v>
      </c>
      <c r="I43" s="70" t="s">
        <v>662</v>
      </c>
      <c r="J43" s="17" t="s">
        <v>14</v>
      </c>
      <c r="K43" s="72" t="s">
        <v>19</v>
      </c>
      <c r="L43" s="11">
        <f t="shared" si="3"/>
        <v>3</v>
      </c>
      <c r="M43" cm="1">
        <f t="array" ref="M43">NameCode(J43)*E43</f>
        <v>1557275</v>
      </c>
      <c r="N43" cm="1">
        <f t="array" ref="N43">NameCode(K43)*E43</f>
        <v>845020</v>
      </c>
    </row>
    <row r="44" spans="1:14" ht="15" thickBot="1" x14ac:dyDescent="0.4">
      <c r="A44" s="7">
        <f t="shared" si="0"/>
        <v>8431</v>
      </c>
      <c r="B44" s="8">
        <v>8</v>
      </c>
      <c r="C44" s="7">
        <v>4</v>
      </c>
      <c r="D44" s="69">
        <v>3</v>
      </c>
      <c r="E44" s="15">
        <f t="shared" si="1"/>
        <v>843</v>
      </c>
      <c r="F44" s="9">
        <v>1</v>
      </c>
      <c r="G44" s="10">
        <f t="shared" si="4"/>
        <v>46092</v>
      </c>
      <c r="H44" s="7" t="str">
        <f t="shared" si="2"/>
        <v>Wed</v>
      </c>
      <c r="I44" s="70" t="s">
        <v>663</v>
      </c>
      <c r="J44" s="18" t="s">
        <v>21</v>
      </c>
      <c r="K44" s="18" t="s">
        <v>20</v>
      </c>
      <c r="L44" s="11">
        <f t="shared" si="3"/>
        <v>3</v>
      </c>
      <c r="M44" cm="1">
        <f t="array" ref="M44">NameCode(J44)*E44</f>
        <v>1136364</v>
      </c>
      <c r="N44" cm="1">
        <f t="array" ref="N44">NameCode(K44)*E44</f>
        <v>1163340</v>
      </c>
    </row>
    <row r="45" spans="1:14" ht="15" thickBot="1" x14ac:dyDescent="0.4">
      <c r="A45" s="7">
        <f t="shared" si="0"/>
        <v>8441</v>
      </c>
      <c r="B45" s="8">
        <v>8</v>
      </c>
      <c r="C45" s="7">
        <v>4</v>
      </c>
      <c r="D45" s="69">
        <v>4</v>
      </c>
      <c r="E45" s="15">
        <f t="shared" si="1"/>
        <v>844</v>
      </c>
      <c r="F45" s="9">
        <v>1</v>
      </c>
      <c r="G45" s="10">
        <f t="shared" si="4"/>
        <v>46092</v>
      </c>
      <c r="H45" s="7" t="str">
        <f t="shared" si="2"/>
        <v>Wed</v>
      </c>
      <c r="I45" s="70" t="s">
        <v>663</v>
      </c>
      <c r="J45" s="18" t="s">
        <v>21</v>
      </c>
      <c r="K45" s="18" t="s">
        <v>20</v>
      </c>
      <c r="L45" s="11">
        <f t="shared" si="3"/>
        <v>3</v>
      </c>
      <c r="M45" cm="1">
        <f t="array" ref="M45">NameCode(J45)*E45</f>
        <v>1137712</v>
      </c>
      <c r="N45" cm="1">
        <f t="array" ref="N45">NameCode(K45)*E45</f>
        <v>1164720</v>
      </c>
    </row>
    <row r="46" spans="1:14" ht="15" thickBot="1" x14ac:dyDescent="0.4">
      <c r="A46" s="7">
        <f t="shared" si="0"/>
        <v>8524</v>
      </c>
      <c r="B46" s="8">
        <v>8</v>
      </c>
      <c r="C46" s="7">
        <v>5</v>
      </c>
      <c r="D46" s="69">
        <v>2</v>
      </c>
      <c r="E46" s="15">
        <f t="shared" si="1"/>
        <v>852</v>
      </c>
      <c r="F46" s="9">
        <v>4</v>
      </c>
      <c r="G46" s="10">
        <f t="shared" si="4"/>
        <v>46093</v>
      </c>
      <c r="H46" s="7" t="str">
        <f t="shared" si="2"/>
        <v>Thu</v>
      </c>
      <c r="I46" s="70" t="s">
        <v>662</v>
      </c>
      <c r="J46" s="17" t="s">
        <v>14</v>
      </c>
      <c r="K46" s="17" t="s">
        <v>24</v>
      </c>
      <c r="L46" s="11">
        <f t="shared" si="3"/>
        <v>3</v>
      </c>
      <c r="M46" cm="1">
        <f t="array" ref="M46">NameCode(J46)*E46</f>
        <v>1588980</v>
      </c>
      <c r="N46" cm="1">
        <f t="array" ref="N46">NameCode(K46)*E46</f>
        <v>1326564</v>
      </c>
    </row>
    <row r="47" spans="1:14" ht="15" thickBot="1" x14ac:dyDescent="0.4">
      <c r="A47" s="7">
        <f t="shared" si="0"/>
        <v>8531</v>
      </c>
      <c r="B47" s="8">
        <v>8</v>
      </c>
      <c r="C47" s="8">
        <v>5</v>
      </c>
      <c r="D47" s="69">
        <v>3</v>
      </c>
      <c r="E47" s="15">
        <f t="shared" si="1"/>
        <v>853</v>
      </c>
      <c r="F47" s="9">
        <v>1</v>
      </c>
      <c r="G47" s="10">
        <f t="shared" si="4"/>
        <v>46093</v>
      </c>
      <c r="H47" s="7" t="str">
        <f t="shared" si="2"/>
        <v>Thu</v>
      </c>
      <c r="I47" s="70" t="s">
        <v>662</v>
      </c>
      <c r="J47" s="18" t="s">
        <v>14</v>
      </c>
      <c r="K47" s="18" t="s">
        <v>32</v>
      </c>
      <c r="L47" s="11">
        <f t="shared" si="3"/>
        <v>3</v>
      </c>
      <c r="M47" cm="1">
        <f t="array" ref="M47">NameCode(J47)*E47</f>
        <v>1590845</v>
      </c>
      <c r="N47" cm="1">
        <f t="array" ref="N47">NameCode(K47)*E47</f>
        <v>1036395</v>
      </c>
    </row>
    <row r="48" spans="1:14" ht="15" thickBot="1" x14ac:dyDescent="0.4">
      <c r="A48" s="7">
        <f t="shared" si="0"/>
        <v>8542</v>
      </c>
      <c r="B48" s="8">
        <v>8</v>
      </c>
      <c r="C48" s="7">
        <v>5</v>
      </c>
      <c r="D48" s="69">
        <v>4</v>
      </c>
      <c r="E48" s="15">
        <f t="shared" si="1"/>
        <v>854</v>
      </c>
      <c r="F48" s="9">
        <v>2</v>
      </c>
      <c r="G48" s="10">
        <f t="shared" si="4"/>
        <v>46093</v>
      </c>
      <c r="H48" s="7" t="str">
        <f t="shared" si="2"/>
        <v>Thu</v>
      </c>
      <c r="I48" s="70" t="s">
        <v>662</v>
      </c>
      <c r="J48" s="18" t="s">
        <v>26</v>
      </c>
      <c r="K48" s="18" t="s">
        <v>18</v>
      </c>
      <c r="L48" s="11">
        <f t="shared" si="3"/>
        <v>3</v>
      </c>
      <c r="M48" cm="1">
        <f t="array" ref="M48">NameCode(J48)*E48</f>
        <v>1136674</v>
      </c>
      <c r="N48" cm="1">
        <f t="array" ref="N48">NameCode(K48)*E48</f>
        <v>1026508</v>
      </c>
    </row>
    <row r="49" spans="1:12" x14ac:dyDescent="0.35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73" t="s">
        <v>30</v>
      </c>
      <c r="L49" s="73">
        <f>SUM(L5:L48)</f>
        <v>131</v>
      </c>
    </row>
  </sheetData>
  <autoFilter ref="A4:N49" xr:uid="{D3019850-3A41-43BC-BDC3-52ACFFF0EB44}">
    <sortState xmlns:xlrd2="http://schemas.microsoft.com/office/spreadsheetml/2017/richdata2" ref="A5:N49">
      <sortCondition ref="B4:B49"/>
    </sortState>
  </autoFilter>
  <conditionalFormatting sqref="A5:A48">
    <cfRule type="duplicateValues" dxfId="133" priority="1"/>
  </conditionalFormatting>
  <conditionalFormatting sqref="M5:N48">
    <cfRule type="duplicateValues" dxfId="132" priority="2"/>
    <cfRule type="duplicateValues" dxfId="131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853E-60FF-47E6-BCDE-FE67EF71D791}">
  <dimension ref="A1:P49"/>
  <sheetViews>
    <sheetView workbookViewId="0">
      <selection activeCell="I5" sqref="I5:I48"/>
    </sheetView>
  </sheetViews>
  <sheetFormatPr defaultRowHeight="14.5" x14ac:dyDescent="0.35"/>
  <cols>
    <col min="1" max="1" width="13.08984375" customWidth="1"/>
    <col min="2" max="3" width="16" customWidth="1"/>
    <col min="4" max="4" width="11.26953125" customWidth="1"/>
    <col min="5" max="5" width="11.26953125" hidden="1" customWidth="1"/>
    <col min="6" max="6" width="10.54296875" customWidth="1"/>
    <col min="7" max="7" width="10.08984375" customWidth="1"/>
    <col min="8" max="8" width="8.81640625" customWidth="1"/>
    <col min="9" max="9" width="21.7265625" customWidth="1"/>
    <col min="10" max="10" width="16.6328125" customWidth="1"/>
    <col min="11" max="11" width="15.54296875" customWidth="1"/>
    <col min="12" max="12" width="8.08984375" customWidth="1"/>
    <col min="13" max="14" width="8.7265625" hidden="1" customWidth="1"/>
  </cols>
  <sheetData>
    <row r="1" spans="1:16" ht="23.5" x14ac:dyDescent="0.35">
      <c r="A1" s="1" t="s">
        <v>671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6" ht="23.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6" ht="23.5" x14ac:dyDescent="0.35">
      <c r="A3" s="3" t="s">
        <v>1</v>
      </c>
      <c r="B3" s="4">
        <v>7</v>
      </c>
      <c r="C3" s="5">
        <v>46083</v>
      </c>
      <c r="D3" s="3"/>
      <c r="E3" s="3"/>
      <c r="F3" s="3"/>
      <c r="G3" s="3"/>
      <c r="H3" s="3"/>
      <c r="I3" s="3"/>
      <c r="J3" s="3"/>
      <c r="K3" s="3"/>
      <c r="L3" s="3"/>
    </row>
    <row r="4" spans="1:16" ht="29.5" thickBot="1" x14ac:dyDescent="0.4">
      <c r="A4" s="20" t="s">
        <v>2</v>
      </c>
      <c r="B4" s="21" t="s">
        <v>3</v>
      </c>
      <c r="C4" s="21" t="s">
        <v>4</v>
      </c>
      <c r="D4" s="21" t="s">
        <v>5</v>
      </c>
      <c r="E4" s="21" t="s">
        <v>31</v>
      </c>
      <c r="F4" s="21" t="s">
        <v>6</v>
      </c>
      <c r="G4" s="21" t="s">
        <v>1</v>
      </c>
      <c r="H4" s="21" t="s">
        <v>7</v>
      </c>
      <c r="I4" s="21" t="s">
        <v>8</v>
      </c>
      <c r="J4" s="22" t="s">
        <v>9</v>
      </c>
      <c r="K4" s="23" t="s">
        <v>10</v>
      </c>
      <c r="L4" s="21" t="s">
        <v>11</v>
      </c>
    </row>
    <row r="5" spans="1:16" ht="15" thickBot="1" x14ac:dyDescent="0.4">
      <c r="A5" s="7">
        <f t="shared" ref="A5:A48" si="0">E5*10+F5</f>
        <v>14212</v>
      </c>
      <c r="B5" s="8">
        <v>14</v>
      </c>
      <c r="C5" s="7">
        <v>2</v>
      </c>
      <c r="D5" s="69">
        <v>1</v>
      </c>
      <c r="E5" s="15">
        <f t="shared" ref="E5:E48" si="1">B5*100+C5*10+D5</f>
        <v>1421</v>
      </c>
      <c r="F5" s="9">
        <v>2</v>
      </c>
      <c r="G5" s="10">
        <f t="shared" ref="G5:G48" si="2">$C$3+(B5-$B$3)*7+ C5-2</f>
        <v>46132</v>
      </c>
      <c r="H5" s="7" t="str">
        <f t="shared" ref="H5:H48" si="3">TEXT(G5,"ddd")</f>
        <v>Mon</v>
      </c>
      <c r="I5" s="79" t="s">
        <v>672</v>
      </c>
      <c r="J5" s="19" t="s">
        <v>23</v>
      </c>
      <c r="K5" s="19" t="s">
        <v>20</v>
      </c>
      <c r="L5" s="11">
        <f t="shared" ref="L5:L48" si="4">COUNTIF(review3_code,A5)</f>
        <v>3</v>
      </c>
      <c r="M5" cm="1">
        <f t="array" ref="M5">NameCode(J5)*E5</f>
        <v>2570589</v>
      </c>
      <c r="N5" cm="1">
        <f t="array" ref="N5">NameCode(K5)*E5</f>
        <v>1960980</v>
      </c>
      <c r="O5" cm="1">
        <f t="array" ref="O5">NameCode(J5)*E5</f>
        <v>2570589</v>
      </c>
      <c r="P5" cm="1">
        <f t="array" ref="P5">NameCode(K5)*E5</f>
        <v>1960980</v>
      </c>
    </row>
    <row r="6" spans="1:16" ht="15" thickBot="1" x14ac:dyDescent="0.4">
      <c r="A6" s="7">
        <f t="shared" si="0"/>
        <v>14213</v>
      </c>
      <c r="B6" s="8">
        <v>14</v>
      </c>
      <c r="C6" s="7">
        <v>2</v>
      </c>
      <c r="D6" s="69">
        <v>1</v>
      </c>
      <c r="E6" s="15">
        <f t="shared" si="1"/>
        <v>1421</v>
      </c>
      <c r="F6" s="9">
        <v>3</v>
      </c>
      <c r="G6" s="10">
        <f t="shared" si="2"/>
        <v>46132</v>
      </c>
      <c r="H6" s="7" t="str">
        <f t="shared" si="3"/>
        <v>Mon</v>
      </c>
      <c r="I6" s="80" t="s">
        <v>673</v>
      </c>
      <c r="J6" s="16" t="s">
        <v>14</v>
      </c>
      <c r="K6" s="16" t="s">
        <v>17</v>
      </c>
      <c r="L6" s="11">
        <f t="shared" si="4"/>
        <v>3</v>
      </c>
      <c r="M6" cm="1">
        <f t="array" ref="M6">NameCode(J6)*E6</f>
        <v>2650165</v>
      </c>
      <c r="N6" cm="1">
        <f t="array" ref="N6">NameCode(K6)*E6</f>
        <v>2263653</v>
      </c>
      <c r="O6" cm="1">
        <f t="array" ref="O6">NameCode(J6)*E6</f>
        <v>2650165</v>
      </c>
      <c r="P6" cm="1">
        <f t="array" ref="P6">NameCode(K6)*E6</f>
        <v>2263653</v>
      </c>
    </row>
    <row r="7" spans="1:16" ht="15" thickBot="1" x14ac:dyDescent="0.4">
      <c r="A7" s="7">
        <f t="shared" si="0"/>
        <v>14222</v>
      </c>
      <c r="B7" s="8">
        <v>14</v>
      </c>
      <c r="C7" s="7">
        <v>2</v>
      </c>
      <c r="D7" s="69">
        <v>2</v>
      </c>
      <c r="E7" s="15">
        <f t="shared" si="1"/>
        <v>1422</v>
      </c>
      <c r="F7" s="12">
        <v>2</v>
      </c>
      <c r="G7" s="10">
        <f t="shared" si="2"/>
        <v>46132</v>
      </c>
      <c r="H7" s="7" t="str">
        <f t="shared" si="3"/>
        <v>Mon</v>
      </c>
      <c r="I7" s="70" t="s">
        <v>672</v>
      </c>
      <c r="J7" s="18" t="s">
        <v>23</v>
      </c>
      <c r="K7" s="18" t="s">
        <v>20</v>
      </c>
      <c r="L7" s="11">
        <f t="shared" si="4"/>
        <v>3</v>
      </c>
      <c r="M7" cm="1">
        <f t="array" ref="M7">NameCode(J7)*E7</f>
        <v>2572398</v>
      </c>
      <c r="N7" cm="1">
        <f t="array" ref="N7">NameCode(K7)*E7</f>
        <v>1962360</v>
      </c>
      <c r="O7" cm="1">
        <f t="array" ref="O7">NameCode(J7)*E7</f>
        <v>2572398</v>
      </c>
      <c r="P7" cm="1">
        <f t="array" ref="P7">NameCode(K7)*E7</f>
        <v>1962360</v>
      </c>
    </row>
    <row r="8" spans="1:16" ht="15" thickBot="1" x14ac:dyDescent="0.4">
      <c r="A8" s="7">
        <f t="shared" si="0"/>
        <v>14223</v>
      </c>
      <c r="B8" s="8">
        <v>14</v>
      </c>
      <c r="C8" s="7">
        <v>2</v>
      </c>
      <c r="D8" s="69">
        <v>2</v>
      </c>
      <c r="E8" s="15">
        <f t="shared" si="1"/>
        <v>1422</v>
      </c>
      <c r="F8" s="9">
        <v>3</v>
      </c>
      <c r="G8" s="10">
        <f t="shared" si="2"/>
        <v>46132</v>
      </c>
      <c r="H8" s="7" t="str">
        <f t="shared" si="3"/>
        <v>Mon</v>
      </c>
      <c r="I8" s="80" t="s">
        <v>673</v>
      </c>
      <c r="J8" s="16" t="s">
        <v>14</v>
      </c>
      <c r="K8" s="16" t="s">
        <v>25</v>
      </c>
      <c r="L8" s="11">
        <f t="shared" si="4"/>
        <v>3</v>
      </c>
      <c r="M8" cm="1">
        <f t="array" ref="M8">NameCode(J8)*E8</f>
        <v>2652030</v>
      </c>
      <c r="N8" cm="1">
        <f t="array" ref="N8">NameCode(K8)*E8</f>
        <v>1429110</v>
      </c>
      <c r="O8" cm="1">
        <f t="array" ref="O8">NameCode(J8)*E8</f>
        <v>2652030</v>
      </c>
      <c r="P8" cm="1">
        <f t="array" ref="P8">NameCode(K8)*E8</f>
        <v>1429110</v>
      </c>
    </row>
    <row r="9" spans="1:16" ht="15" thickBot="1" x14ac:dyDescent="0.4">
      <c r="A9" s="7">
        <f t="shared" si="0"/>
        <v>14232</v>
      </c>
      <c r="B9" s="8">
        <v>14</v>
      </c>
      <c r="C9" s="7">
        <v>2</v>
      </c>
      <c r="D9" s="69">
        <v>3</v>
      </c>
      <c r="E9" s="15">
        <f t="shared" si="1"/>
        <v>1423</v>
      </c>
      <c r="F9" s="9">
        <v>2</v>
      </c>
      <c r="G9" s="10">
        <f t="shared" si="2"/>
        <v>46132</v>
      </c>
      <c r="H9" s="7" t="str">
        <f t="shared" si="3"/>
        <v>Mon</v>
      </c>
      <c r="I9" s="80" t="s">
        <v>672</v>
      </c>
      <c r="J9" s="19" t="s">
        <v>23</v>
      </c>
      <c r="K9" s="19" t="s">
        <v>24</v>
      </c>
      <c r="L9" s="11">
        <f t="shared" si="4"/>
        <v>3</v>
      </c>
      <c r="M9" cm="1">
        <f t="array" ref="M9">NameCode(J9)*E9</f>
        <v>2574207</v>
      </c>
      <c r="N9" cm="1">
        <f t="array" ref="N9">NameCode(K9)*E9</f>
        <v>2215611</v>
      </c>
      <c r="O9" cm="1">
        <f t="array" ref="O9">NameCode(J9)*E9</f>
        <v>2574207</v>
      </c>
      <c r="P9" cm="1">
        <f t="array" ref="P9">NameCode(K9)*E9</f>
        <v>2215611</v>
      </c>
    </row>
    <row r="10" spans="1:16" ht="15" thickBot="1" x14ac:dyDescent="0.4">
      <c r="A10" s="7">
        <f t="shared" si="0"/>
        <v>14233</v>
      </c>
      <c r="B10" s="8">
        <v>14</v>
      </c>
      <c r="C10" s="7">
        <v>2</v>
      </c>
      <c r="D10" s="69">
        <v>3</v>
      </c>
      <c r="E10" s="15">
        <f t="shared" si="1"/>
        <v>1423</v>
      </c>
      <c r="F10" s="9">
        <v>3</v>
      </c>
      <c r="G10" s="10">
        <f t="shared" si="2"/>
        <v>46132</v>
      </c>
      <c r="H10" s="7" t="str">
        <f t="shared" si="3"/>
        <v>Mon</v>
      </c>
      <c r="I10" s="70" t="s">
        <v>674</v>
      </c>
      <c r="J10" s="18" t="s">
        <v>19</v>
      </c>
      <c r="K10" s="18" t="s">
        <v>27</v>
      </c>
      <c r="L10" s="11">
        <f t="shared" si="4"/>
        <v>3</v>
      </c>
      <c r="M10" cm="1">
        <f t="array" ref="M10">NameCode(J10)*E10</f>
        <v>1440076</v>
      </c>
      <c r="N10" cm="1">
        <f t="array" ref="N10">NameCode(K10)*E10</f>
        <v>2518710</v>
      </c>
      <c r="O10" cm="1">
        <f t="array" ref="O10">NameCode(J10)*E10</f>
        <v>1440076</v>
      </c>
      <c r="P10" cm="1">
        <f t="array" ref="P10">NameCode(K10)*E10</f>
        <v>2518710</v>
      </c>
    </row>
    <row r="11" spans="1:16" ht="15" thickBot="1" x14ac:dyDescent="0.4">
      <c r="A11" s="7">
        <f t="shared" si="0"/>
        <v>14242</v>
      </c>
      <c r="B11" s="8">
        <v>14</v>
      </c>
      <c r="C11" s="7">
        <v>2</v>
      </c>
      <c r="D11" s="69">
        <v>4</v>
      </c>
      <c r="E11" s="15">
        <f t="shared" si="1"/>
        <v>1424</v>
      </c>
      <c r="F11" s="9">
        <v>2</v>
      </c>
      <c r="G11" s="10">
        <f t="shared" si="2"/>
        <v>46132</v>
      </c>
      <c r="H11" s="7" t="str">
        <f t="shared" si="3"/>
        <v>Mon</v>
      </c>
      <c r="I11" s="70" t="s">
        <v>672</v>
      </c>
      <c r="J11" s="18" t="s">
        <v>23</v>
      </c>
      <c r="K11" s="18" t="s">
        <v>24</v>
      </c>
      <c r="L11" s="11">
        <f t="shared" si="4"/>
        <v>3</v>
      </c>
      <c r="M11" cm="1">
        <f t="array" ref="M11">NameCode(J11)*E11</f>
        <v>2576016</v>
      </c>
      <c r="N11" cm="1">
        <f t="array" ref="N11">NameCode(K11)*E11</f>
        <v>2217168</v>
      </c>
      <c r="O11" cm="1">
        <f t="array" ref="O11">NameCode(J11)*E11</f>
        <v>2576016</v>
      </c>
      <c r="P11" cm="1">
        <f t="array" ref="P11">NameCode(K11)*E11</f>
        <v>2217168</v>
      </c>
    </row>
    <row r="12" spans="1:16" ht="15" thickBot="1" x14ac:dyDescent="0.4">
      <c r="A12" s="7">
        <f t="shared" si="0"/>
        <v>14243</v>
      </c>
      <c r="B12" s="8">
        <v>14</v>
      </c>
      <c r="C12" s="7">
        <v>2</v>
      </c>
      <c r="D12" s="69">
        <v>4</v>
      </c>
      <c r="E12" s="15">
        <f t="shared" si="1"/>
        <v>1424</v>
      </c>
      <c r="F12" s="9">
        <v>3</v>
      </c>
      <c r="G12" s="10">
        <f t="shared" si="2"/>
        <v>46132</v>
      </c>
      <c r="H12" s="7" t="str">
        <f t="shared" si="3"/>
        <v>Mon</v>
      </c>
      <c r="I12" s="70" t="s">
        <v>674</v>
      </c>
      <c r="J12" s="18" t="s">
        <v>19</v>
      </c>
      <c r="K12" s="18" t="s">
        <v>13</v>
      </c>
      <c r="L12" s="11">
        <f t="shared" si="4"/>
        <v>3</v>
      </c>
      <c r="M12" cm="1">
        <f t="array" ref="M12">NameCode(J12)*E12</f>
        <v>1441088</v>
      </c>
      <c r="N12" cm="1">
        <f t="array" ref="N12">NameCode(K12)*E12</f>
        <v>2205776</v>
      </c>
      <c r="O12" cm="1">
        <f t="array" ref="O12">NameCode(J12)*E12</f>
        <v>1441088</v>
      </c>
      <c r="P12" cm="1">
        <f t="array" ref="P12">NameCode(K12)*E12</f>
        <v>2205776</v>
      </c>
    </row>
    <row r="13" spans="1:16" ht="15" thickBot="1" x14ac:dyDescent="0.4">
      <c r="A13" s="7">
        <f t="shared" si="0"/>
        <v>14251</v>
      </c>
      <c r="B13" s="8">
        <v>14</v>
      </c>
      <c r="C13" s="7">
        <v>2</v>
      </c>
      <c r="D13" s="69">
        <v>5</v>
      </c>
      <c r="E13" s="15">
        <f t="shared" si="1"/>
        <v>1425</v>
      </c>
      <c r="F13" s="9">
        <v>1</v>
      </c>
      <c r="G13" s="10">
        <f t="shared" si="2"/>
        <v>46132</v>
      </c>
      <c r="H13" s="7" t="str">
        <f t="shared" si="3"/>
        <v>Mon</v>
      </c>
      <c r="I13" s="70" t="s">
        <v>673</v>
      </c>
      <c r="J13" s="18" t="s">
        <v>14</v>
      </c>
      <c r="K13" s="18" t="s">
        <v>13</v>
      </c>
      <c r="L13" s="11">
        <f t="shared" si="4"/>
        <v>3</v>
      </c>
      <c r="M13" cm="1">
        <f t="array" ref="M13">NameCode(J13)*E13</f>
        <v>2657625</v>
      </c>
      <c r="N13" cm="1">
        <f t="array" ref="N13">NameCode(K13)*E13</f>
        <v>2207325</v>
      </c>
      <c r="O13" cm="1">
        <f t="array" ref="O13">NameCode(J13)*E13</f>
        <v>2657625</v>
      </c>
      <c r="P13" cm="1">
        <f t="array" ref="P13">NameCode(K13)*E13</f>
        <v>2207325</v>
      </c>
    </row>
    <row r="14" spans="1:16" ht="15" thickBot="1" x14ac:dyDescent="0.4">
      <c r="A14" s="7">
        <f t="shared" si="0"/>
        <v>14311</v>
      </c>
      <c r="B14" s="8">
        <v>14</v>
      </c>
      <c r="C14" s="7">
        <v>3</v>
      </c>
      <c r="D14" s="69">
        <v>1</v>
      </c>
      <c r="E14" s="15">
        <f t="shared" si="1"/>
        <v>1431</v>
      </c>
      <c r="F14" s="12">
        <v>1</v>
      </c>
      <c r="G14" s="10">
        <f t="shared" si="2"/>
        <v>46133</v>
      </c>
      <c r="H14" s="7" t="str">
        <f t="shared" si="3"/>
        <v>Tue</v>
      </c>
      <c r="I14" s="70" t="s">
        <v>672</v>
      </c>
      <c r="J14" s="18" t="s">
        <v>23</v>
      </c>
      <c r="K14" s="82" t="s">
        <v>20</v>
      </c>
      <c r="L14" s="11">
        <f t="shared" si="4"/>
        <v>3</v>
      </c>
      <c r="M14" cm="1">
        <f t="array" ref="M14">NameCode(J14)*E14</f>
        <v>2588679</v>
      </c>
      <c r="N14" cm="1">
        <f t="array" ref="N14">NameCode(K14)*E14</f>
        <v>1974780</v>
      </c>
      <c r="O14" cm="1">
        <f t="array" ref="O14">NameCode(J14)*E14</f>
        <v>2588679</v>
      </c>
      <c r="P14" cm="1">
        <f t="array" ref="P14">NameCode(K14)*E14</f>
        <v>1974780</v>
      </c>
    </row>
    <row r="15" spans="1:16" ht="15" thickBot="1" x14ac:dyDescent="0.4">
      <c r="A15" s="7">
        <f t="shared" si="0"/>
        <v>14312</v>
      </c>
      <c r="B15" s="8">
        <v>14</v>
      </c>
      <c r="C15" s="7">
        <v>3</v>
      </c>
      <c r="D15" s="69">
        <v>1</v>
      </c>
      <c r="E15" s="15">
        <f t="shared" si="1"/>
        <v>1431</v>
      </c>
      <c r="F15" s="9">
        <v>2</v>
      </c>
      <c r="G15" s="10">
        <f t="shared" si="2"/>
        <v>46133</v>
      </c>
      <c r="H15" s="7" t="str">
        <f t="shared" si="3"/>
        <v>Tue</v>
      </c>
      <c r="I15" s="70" t="s">
        <v>675</v>
      </c>
      <c r="J15" s="18" t="s">
        <v>12</v>
      </c>
      <c r="K15" s="18" t="s">
        <v>14</v>
      </c>
      <c r="L15" s="11">
        <f t="shared" si="4"/>
        <v>2</v>
      </c>
      <c r="M15" cm="1">
        <f t="array" ref="M15">NameCode(J15)*E15</f>
        <v>1918971</v>
      </c>
      <c r="N15" cm="1">
        <f t="array" ref="N15">NameCode(K15)*E15</f>
        <v>2668815</v>
      </c>
      <c r="O15" cm="1">
        <f t="array" ref="O15">NameCode(J15)*E15</f>
        <v>1918971</v>
      </c>
      <c r="P15" cm="1">
        <f t="array" ref="P15">NameCode(K15)*E15</f>
        <v>2668815</v>
      </c>
    </row>
    <row r="16" spans="1:16" ht="15" thickBot="1" x14ac:dyDescent="0.4">
      <c r="A16" s="7">
        <f t="shared" si="0"/>
        <v>14313</v>
      </c>
      <c r="B16" s="8">
        <v>14</v>
      </c>
      <c r="C16" s="7">
        <v>3</v>
      </c>
      <c r="D16" s="69">
        <v>1</v>
      </c>
      <c r="E16" s="15">
        <f t="shared" si="1"/>
        <v>1431</v>
      </c>
      <c r="F16" s="12">
        <v>3</v>
      </c>
      <c r="G16" s="10">
        <f t="shared" si="2"/>
        <v>46133</v>
      </c>
      <c r="H16" s="7" t="str">
        <f t="shared" si="3"/>
        <v>Tue</v>
      </c>
      <c r="I16" s="70" t="s">
        <v>673</v>
      </c>
      <c r="J16" s="18" t="s">
        <v>21</v>
      </c>
      <c r="K16" s="18" t="s">
        <v>25</v>
      </c>
      <c r="L16" s="11">
        <f t="shared" si="4"/>
        <v>3</v>
      </c>
      <c r="M16" cm="1">
        <f t="array" ref="M16">NameCode(J16)*E16</f>
        <v>1928988</v>
      </c>
      <c r="N16" cm="1">
        <f t="array" ref="N16">NameCode(K16)*E16</f>
        <v>1438155</v>
      </c>
      <c r="O16" cm="1">
        <f t="array" ref="O16">NameCode(J16)*E16</f>
        <v>1928988</v>
      </c>
      <c r="P16" cm="1">
        <f t="array" ref="P16">NameCode(K16)*E16</f>
        <v>1438155</v>
      </c>
    </row>
    <row r="17" spans="1:16" ht="15" thickBot="1" x14ac:dyDescent="0.4">
      <c r="A17" s="7">
        <f t="shared" si="0"/>
        <v>14321</v>
      </c>
      <c r="B17" s="8">
        <v>14</v>
      </c>
      <c r="C17" s="8">
        <v>3</v>
      </c>
      <c r="D17" s="69">
        <v>2</v>
      </c>
      <c r="E17" s="15">
        <f t="shared" si="1"/>
        <v>1432</v>
      </c>
      <c r="F17" s="9">
        <v>1</v>
      </c>
      <c r="G17" s="10">
        <f t="shared" si="2"/>
        <v>46133</v>
      </c>
      <c r="H17" s="7" t="str">
        <f t="shared" si="3"/>
        <v>Tue</v>
      </c>
      <c r="I17" s="80" t="s">
        <v>675</v>
      </c>
      <c r="J17" s="19" t="s">
        <v>19</v>
      </c>
      <c r="K17" s="19" t="s">
        <v>18</v>
      </c>
      <c r="L17" s="11">
        <f t="shared" si="4"/>
        <v>3</v>
      </c>
      <c r="M17" cm="1">
        <f t="array" ref="M17">NameCode(J17)*E17</f>
        <v>1449184</v>
      </c>
      <c r="N17" cm="1">
        <f t="array" ref="N17">NameCode(K17)*E17</f>
        <v>1721264</v>
      </c>
      <c r="O17" cm="1">
        <f t="array" ref="O17">NameCode(J17)*E17</f>
        <v>1449184</v>
      </c>
      <c r="P17" cm="1">
        <f t="array" ref="P17">NameCode(K17)*E17</f>
        <v>1721264</v>
      </c>
    </row>
    <row r="18" spans="1:16" ht="15" thickBot="1" x14ac:dyDescent="0.4">
      <c r="A18" s="7">
        <f t="shared" si="0"/>
        <v>14322</v>
      </c>
      <c r="B18" s="8">
        <v>14</v>
      </c>
      <c r="C18" s="8">
        <v>3</v>
      </c>
      <c r="D18" s="69">
        <v>2</v>
      </c>
      <c r="E18" s="15">
        <f t="shared" si="1"/>
        <v>1432</v>
      </c>
      <c r="F18" s="9">
        <v>2</v>
      </c>
      <c r="G18" s="10">
        <f t="shared" si="2"/>
        <v>46133</v>
      </c>
      <c r="H18" s="7" t="str">
        <f t="shared" si="3"/>
        <v>Tue</v>
      </c>
      <c r="I18" s="70" t="s">
        <v>673</v>
      </c>
      <c r="J18" s="18" t="s">
        <v>21</v>
      </c>
      <c r="K18" s="18" t="s">
        <v>25</v>
      </c>
      <c r="L18" s="11">
        <f t="shared" si="4"/>
        <v>3</v>
      </c>
      <c r="M18" cm="1">
        <f t="array" ref="M18">NameCode(J18)*E18</f>
        <v>1930336</v>
      </c>
      <c r="N18" cm="1">
        <f t="array" ref="N18">NameCode(K18)*E18</f>
        <v>1439160</v>
      </c>
      <c r="O18" cm="1">
        <f t="array" ref="O18">NameCode(J18)*E18</f>
        <v>1930336</v>
      </c>
      <c r="P18" cm="1">
        <f t="array" ref="P18">NameCode(K18)*E18</f>
        <v>1439160</v>
      </c>
    </row>
    <row r="19" spans="1:16" ht="15" thickBot="1" x14ac:dyDescent="0.4">
      <c r="A19" s="7">
        <f t="shared" si="0"/>
        <v>14323</v>
      </c>
      <c r="B19" s="8">
        <v>14</v>
      </c>
      <c r="C19" s="8">
        <v>3</v>
      </c>
      <c r="D19" s="69">
        <v>2</v>
      </c>
      <c r="E19" s="15">
        <f t="shared" si="1"/>
        <v>1432</v>
      </c>
      <c r="F19" s="9">
        <v>3</v>
      </c>
      <c r="G19" s="10">
        <f t="shared" si="2"/>
        <v>46133</v>
      </c>
      <c r="H19" s="7" t="str">
        <f t="shared" si="3"/>
        <v>Tue</v>
      </c>
      <c r="I19" s="70" t="s">
        <v>672</v>
      </c>
      <c r="J19" s="18" t="s">
        <v>23</v>
      </c>
      <c r="K19" s="82" t="s">
        <v>20</v>
      </c>
      <c r="L19" s="11">
        <f t="shared" si="4"/>
        <v>3</v>
      </c>
      <c r="M19" cm="1">
        <f t="array" ref="M19">NameCode(J19)*E19</f>
        <v>2590488</v>
      </c>
      <c r="N19" cm="1">
        <f t="array" ref="N19">NameCode(K19)*E19</f>
        <v>1976160</v>
      </c>
      <c r="O19" cm="1">
        <f t="array" ref="O19">NameCode(J19)*E19</f>
        <v>2590488</v>
      </c>
      <c r="P19" cm="1">
        <f t="array" ref="P19">NameCode(K19)*E19</f>
        <v>1976160</v>
      </c>
    </row>
    <row r="20" spans="1:16" ht="15" thickBot="1" x14ac:dyDescent="0.4">
      <c r="A20" s="7">
        <f t="shared" si="0"/>
        <v>14331</v>
      </c>
      <c r="B20" s="8">
        <v>14</v>
      </c>
      <c r="C20" s="8">
        <v>3</v>
      </c>
      <c r="D20" s="69">
        <v>3</v>
      </c>
      <c r="E20" s="15">
        <f t="shared" si="1"/>
        <v>1433</v>
      </c>
      <c r="F20" s="9">
        <v>1</v>
      </c>
      <c r="G20" s="10">
        <f t="shared" si="2"/>
        <v>46133</v>
      </c>
      <c r="H20" s="7" t="str">
        <f t="shared" si="3"/>
        <v>Tue</v>
      </c>
      <c r="I20" s="80" t="s">
        <v>675</v>
      </c>
      <c r="J20" s="19" t="s">
        <v>19</v>
      </c>
      <c r="K20" s="19" t="s">
        <v>26</v>
      </c>
      <c r="L20" s="11">
        <f t="shared" si="4"/>
        <v>3</v>
      </c>
      <c r="M20" cm="1">
        <f t="array" ref="M20">NameCode(J20)*E20</f>
        <v>1450196</v>
      </c>
      <c r="N20" cm="1">
        <f t="array" ref="N20">NameCode(K20)*E20</f>
        <v>1907323</v>
      </c>
      <c r="O20" cm="1">
        <f t="array" ref="O20">NameCode(J20)*E20</f>
        <v>1450196</v>
      </c>
      <c r="P20" cm="1">
        <f t="array" ref="P20">NameCode(K20)*E20</f>
        <v>1907323</v>
      </c>
    </row>
    <row r="21" spans="1:16" ht="15" thickBot="1" x14ac:dyDescent="0.4">
      <c r="A21" s="7">
        <f t="shared" si="0"/>
        <v>14332</v>
      </c>
      <c r="B21" s="8">
        <v>14</v>
      </c>
      <c r="C21" s="7">
        <v>3</v>
      </c>
      <c r="D21" s="69">
        <v>3</v>
      </c>
      <c r="E21" s="15">
        <f t="shared" si="1"/>
        <v>1433</v>
      </c>
      <c r="F21" s="9">
        <v>2</v>
      </c>
      <c r="G21" s="10">
        <f t="shared" si="2"/>
        <v>46133</v>
      </c>
      <c r="H21" s="7" t="str">
        <f t="shared" si="3"/>
        <v>Tue</v>
      </c>
      <c r="I21" s="70" t="s">
        <v>672</v>
      </c>
      <c r="J21" s="18" t="s">
        <v>18</v>
      </c>
      <c r="K21" s="18" t="s">
        <v>24</v>
      </c>
      <c r="L21" s="11">
        <f t="shared" si="4"/>
        <v>3</v>
      </c>
      <c r="M21" cm="1">
        <f t="array" ref="M21">NameCode(J21)*E21</f>
        <v>1722466</v>
      </c>
      <c r="N21" cm="1">
        <f t="array" ref="N21">NameCode(K21)*E21</f>
        <v>2231181</v>
      </c>
      <c r="O21" cm="1">
        <f t="array" ref="O21">NameCode(J21)*E21</f>
        <v>1722466</v>
      </c>
      <c r="P21" cm="1">
        <f t="array" ref="P21">NameCode(K21)*E21</f>
        <v>2231181</v>
      </c>
    </row>
    <row r="22" spans="1:16" ht="15" thickBot="1" x14ac:dyDescent="0.4">
      <c r="A22" s="7">
        <f t="shared" si="0"/>
        <v>14341</v>
      </c>
      <c r="B22" s="8">
        <v>14</v>
      </c>
      <c r="C22" s="8">
        <v>3</v>
      </c>
      <c r="D22" s="69">
        <v>4</v>
      </c>
      <c r="E22" s="15">
        <f t="shared" si="1"/>
        <v>1434</v>
      </c>
      <c r="F22" s="9">
        <v>1</v>
      </c>
      <c r="G22" s="10">
        <f t="shared" si="2"/>
        <v>46133</v>
      </c>
      <c r="H22" s="7" t="str">
        <f t="shared" si="3"/>
        <v>Tue</v>
      </c>
      <c r="I22" s="70" t="s">
        <v>675</v>
      </c>
      <c r="J22" s="18" t="s">
        <v>19</v>
      </c>
      <c r="K22" s="18" t="s">
        <v>26</v>
      </c>
      <c r="L22" s="11">
        <f t="shared" si="4"/>
        <v>3</v>
      </c>
      <c r="M22" cm="1">
        <f t="array" ref="M22">NameCode(J22)*E22</f>
        <v>1451208</v>
      </c>
      <c r="N22" cm="1">
        <f t="array" ref="N22">NameCode(K22)*E22</f>
        <v>1908654</v>
      </c>
      <c r="O22" cm="1">
        <f t="array" ref="O22">NameCode(J22)*E22</f>
        <v>1451208</v>
      </c>
      <c r="P22" cm="1">
        <f t="array" ref="P22">NameCode(K22)*E22</f>
        <v>1908654</v>
      </c>
    </row>
    <row r="23" spans="1:16" ht="15" thickBot="1" x14ac:dyDescent="0.4">
      <c r="A23" s="7">
        <f t="shared" si="0"/>
        <v>14342</v>
      </c>
      <c r="B23" s="8">
        <v>14</v>
      </c>
      <c r="C23" s="7">
        <v>3</v>
      </c>
      <c r="D23" s="69">
        <v>4</v>
      </c>
      <c r="E23" s="15">
        <f t="shared" si="1"/>
        <v>1434</v>
      </c>
      <c r="F23" s="9">
        <v>2</v>
      </c>
      <c r="G23" s="10">
        <f t="shared" si="2"/>
        <v>46133</v>
      </c>
      <c r="H23" s="7" t="str">
        <f t="shared" si="3"/>
        <v>Tue</v>
      </c>
      <c r="I23" s="70" t="s">
        <v>672</v>
      </c>
      <c r="J23" s="19" t="s">
        <v>18</v>
      </c>
      <c r="K23" s="19" t="s">
        <v>24</v>
      </c>
      <c r="L23" s="11">
        <f t="shared" si="4"/>
        <v>3</v>
      </c>
      <c r="M23" cm="1">
        <f t="array" ref="M23">NameCode(J23)*E23</f>
        <v>1723668</v>
      </c>
      <c r="N23" cm="1">
        <f t="array" ref="N23">NameCode(K23)*E23</f>
        <v>2232738</v>
      </c>
      <c r="O23" cm="1">
        <f t="array" ref="O23">NameCode(J23)*E23</f>
        <v>1723668</v>
      </c>
      <c r="P23" cm="1">
        <f t="array" ref="P23">NameCode(K23)*E23</f>
        <v>2232738</v>
      </c>
    </row>
    <row r="24" spans="1:16" ht="15" thickBot="1" x14ac:dyDescent="0.4">
      <c r="A24" s="7">
        <f t="shared" si="0"/>
        <v>14351</v>
      </c>
      <c r="B24" s="8">
        <v>14</v>
      </c>
      <c r="C24" s="7">
        <v>3</v>
      </c>
      <c r="D24" s="69">
        <v>5</v>
      </c>
      <c r="E24" s="15">
        <f t="shared" si="1"/>
        <v>1435</v>
      </c>
      <c r="F24" s="9">
        <v>1</v>
      </c>
      <c r="G24" s="10">
        <f t="shared" si="2"/>
        <v>46133</v>
      </c>
      <c r="H24" s="7" t="str">
        <f t="shared" si="3"/>
        <v>Tue</v>
      </c>
      <c r="I24" s="80" t="s">
        <v>673</v>
      </c>
      <c r="J24" s="19" t="s">
        <v>14</v>
      </c>
      <c r="K24" s="19" t="s">
        <v>13</v>
      </c>
      <c r="L24" s="11">
        <f t="shared" si="4"/>
        <v>3</v>
      </c>
      <c r="M24" cm="1">
        <f t="array" ref="M24">NameCode(J24)*E24</f>
        <v>2676275</v>
      </c>
      <c r="N24" cm="1">
        <f t="array" ref="N24">NameCode(K24)*E24</f>
        <v>2222815</v>
      </c>
      <c r="O24" cm="1">
        <f t="array" ref="O24">NameCode(J24)*E24</f>
        <v>2676275</v>
      </c>
      <c r="P24" cm="1">
        <f t="array" ref="P24">NameCode(K24)*E24</f>
        <v>2222815</v>
      </c>
    </row>
    <row r="25" spans="1:16" ht="15" thickBot="1" x14ac:dyDescent="0.4">
      <c r="A25" s="7">
        <f t="shared" si="0"/>
        <v>14411</v>
      </c>
      <c r="B25" s="8">
        <v>14</v>
      </c>
      <c r="C25" s="7">
        <v>4</v>
      </c>
      <c r="D25" s="69">
        <v>1</v>
      </c>
      <c r="E25" s="15">
        <f t="shared" si="1"/>
        <v>1441</v>
      </c>
      <c r="F25" s="9">
        <v>1</v>
      </c>
      <c r="G25" s="10">
        <f t="shared" si="2"/>
        <v>46134</v>
      </c>
      <c r="H25" s="7" t="str">
        <f t="shared" si="3"/>
        <v>Wed</v>
      </c>
      <c r="I25" s="80" t="s">
        <v>675</v>
      </c>
      <c r="J25" s="19" t="s">
        <v>12</v>
      </c>
      <c r="K25" s="19" t="s">
        <v>20</v>
      </c>
      <c r="L25" s="11">
        <f t="shared" si="4"/>
        <v>3</v>
      </c>
      <c r="M25" cm="1">
        <f t="array" ref="M25">NameCode(J25)*E25</f>
        <v>1932381</v>
      </c>
      <c r="N25" cm="1">
        <f t="array" ref="N25">NameCode(K25)*E25</f>
        <v>1988580</v>
      </c>
      <c r="O25" cm="1">
        <f t="array" ref="O25">NameCode(J25)*E25</f>
        <v>1932381</v>
      </c>
      <c r="P25" cm="1">
        <f t="array" ref="P25">NameCode(K25)*E25</f>
        <v>1988580</v>
      </c>
    </row>
    <row r="26" spans="1:16" ht="15" thickBot="1" x14ac:dyDescent="0.4">
      <c r="A26" s="7">
        <f t="shared" si="0"/>
        <v>14412</v>
      </c>
      <c r="B26" s="8">
        <v>14</v>
      </c>
      <c r="C26" s="7">
        <v>4</v>
      </c>
      <c r="D26" s="69">
        <v>1</v>
      </c>
      <c r="E26" s="15">
        <f t="shared" si="1"/>
        <v>1441</v>
      </c>
      <c r="F26" s="9">
        <v>2</v>
      </c>
      <c r="G26" s="10">
        <f t="shared" si="2"/>
        <v>46134</v>
      </c>
      <c r="H26" s="7" t="str">
        <f t="shared" si="3"/>
        <v>Wed</v>
      </c>
      <c r="I26" s="80" t="s">
        <v>673</v>
      </c>
      <c r="J26" s="19" t="s">
        <v>14</v>
      </c>
      <c r="K26" s="19" t="s">
        <v>25</v>
      </c>
      <c r="L26" s="11">
        <f t="shared" si="4"/>
        <v>3</v>
      </c>
      <c r="M26" cm="1">
        <f t="array" ref="M26">NameCode(J26)*E26</f>
        <v>2687465</v>
      </c>
      <c r="N26" cm="1">
        <f t="array" ref="N26">NameCode(K26)*E26</f>
        <v>1448205</v>
      </c>
      <c r="O26" cm="1">
        <f t="array" ref="O26">NameCode(J26)*E26</f>
        <v>2687465</v>
      </c>
      <c r="P26" cm="1">
        <f t="array" ref="P26">NameCode(K26)*E26</f>
        <v>1448205</v>
      </c>
    </row>
    <row r="27" spans="1:16" ht="15" thickBot="1" x14ac:dyDescent="0.4">
      <c r="A27" s="7">
        <f t="shared" si="0"/>
        <v>14421</v>
      </c>
      <c r="B27" s="8">
        <v>14</v>
      </c>
      <c r="C27" s="7">
        <v>4</v>
      </c>
      <c r="D27" s="69">
        <v>2</v>
      </c>
      <c r="E27" s="15">
        <f t="shared" si="1"/>
        <v>1442</v>
      </c>
      <c r="F27" s="9">
        <v>1</v>
      </c>
      <c r="G27" s="10">
        <f t="shared" si="2"/>
        <v>46134</v>
      </c>
      <c r="H27" s="7" t="str">
        <f t="shared" si="3"/>
        <v>Wed</v>
      </c>
      <c r="I27" s="80" t="s">
        <v>675</v>
      </c>
      <c r="J27" s="19" t="s">
        <v>12</v>
      </c>
      <c r="K27" s="19" t="s">
        <v>20</v>
      </c>
      <c r="L27" s="11">
        <f t="shared" si="4"/>
        <v>3</v>
      </c>
      <c r="M27" cm="1">
        <f t="array" ref="M27">NameCode(J27)*E27</f>
        <v>1933722</v>
      </c>
      <c r="N27" cm="1">
        <f t="array" ref="N27">NameCode(K27)*E27</f>
        <v>1989960</v>
      </c>
      <c r="O27" cm="1">
        <f t="array" ref="O27">NameCode(J27)*E27</f>
        <v>1933722</v>
      </c>
      <c r="P27" cm="1">
        <f t="array" ref="P27">NameCode(K27)*E27</f>
        <v>1989960</v>
      </c>
    </row>
    <row r="28" spans="1:16" ht="15" thickBot="1" x14ac:dyDescent="0.4">
      <c r="A28" s="7">
        <f t="shared" si="0"/>
        <v>14422</v>
      </c>
      <c r="B28" s="8">
        <v>14</v>
      </c>
      <c r="C28" s="7">
        <v>4</v>
      </c>
      <c r="D28" s="69">
        <v>2</v>
      </c>
      <c r="E28" s="15">
        <f t="shared" si="1"/>
        <v>1442</v>
      </c>
      <c r="F28" s="9">
        <v>2</v>
      </c>
      <c r="G28" s="10">
        <f t="shared" si="2"/>
        <v>46134</v>
      </c>
      <c r="H28" s="7" t="str">
        <f t="shared" si="3"/>
        <v>Wed</v>
      </c>
      <c r="I28" s="80" t="s">
        <v>673</v>
      </c>
      <c r="J28" s="19" t="s">
        <v>14</v>
      </c>
      <c r="K28" s="19" t="s">
        <v>25</v>
      </c>
      <c r="L28" s="11">
        <f t="shared" si="4"/>
        <v>3</v>
      </c>
      <c r="M28" cm="1">
        <f t="array" ref="M28">NameCode(J28)*E28</f>
        <v>2689330</v>
      </c>
      <c r="N28" cm="1">
        <f t="array" ref="N28">NameCode(K28)*E28</f>
        <v>1449210</v>
      </c>
      <c r="O28" cm="1">
        <f t="array" ref="O28">NameCode(J28)*E28</f>
        <v>2689330</v>
      </c>
      <c r="P28" cm="1">
        <f t="array" ref="P28">NameCode(K28)*E28</f>
        <v>1449210</v>
      </c>
    </row>
    <row r="29" spans="1:16" ht="15" thickBot="1" x14ac:dyDescent="0.4">
      <c r="A29" s="7">
        <f t="shared" si="0"/>
        <v>14431</v>
      </c>
      <c r="B29" s="8">
        <v>14</v>
      </c>
      <c r="C29" s="7">
        <v>4</v>
      </c>
      <c r="D29" s="69">
        <v>3</v>
      </c>
      <c r="E29" s="15">
        <f t="shared" si="1"/>
        <v>1443</v>
      </c>
      <c r="F29" s="12">
        <v>1</v>
      </c>
      <c r="G29" s="10">
        <f t="shared" si="2"/>
        <v>46134</v>
      </c>
      <c r="H29" s="7" t="str">
        <f t="shared" si="3"/>
        <v>Wed</v>
      </c>
      <c r="I29" s="80" t="s">
        <v>675</v>
      </c>
      <c r="J29" s="19" t="s">
        <v>12</v>
      </c>
      <c r="K29" s="19" t="s">
        <v>26</v>
      </c>
      <c r="L29" s="11">
        <f t="shared" si="4"/>
        <v>3</v>
      </c>
      <c r="M29" cm="1">
        <f t="array" ref="M29">NameCode(J29)*E29</f>
        <v>1935063</v>
      </c>
      <c r="N29" cm="1">
        <f t="array" ref="N29">NameCode(K29)*E29</f>
        <v>1920633</v>
      </c>
      <c r="O29" cm="1">
        <f t="array" ref="O29">NameCode(J29)*E29</f>
        <v>1935063</v>
      </c>
      <c r="P29" cm="1">
        <f t="array" ref="P29">NameCode(K29)*E29</f>
        <v>1920633</v>
      </c>
    </row>
    <row r="30" spans="1:16" ht="15" thickBot="1" x14ac:dyDescent="0.4">
      <c r="A30" s="7">
        <f t="shared" si="0"/>
        <v>14432</v>
      </c>
      <c r="B30" s="8">
        <v>14</v>
      </c>
      <c r="C30" s="7">
        <v>4</v>
      </c>
      <c r="D30" s="69">
        <v>3</v>
      </c>
      <c r="E30" s="15">
        <f t="shared" si="1"/>
        <v>1443</v>
      </c>
      <c r="F30" s="9">
        <v>2</v>
      </c>
      <c r="G30" s="10">
        <f t="shared" si="2"/>
        <v>46134</v>
      </c>
      <c r="H30" s="7" t="str">
        <f t="shared" si="3"/>
        <v>Wed</v>
      </c>
      <c r="I30" s="70" t="s">
        <v>674</v>
      </c>
      <c r="J30" s="18" t="s">
        <v>27</v>
      </c>
      <c r="K30" s="18" t="s">
        <v>13</v>
      </c>
      <c r="L30" s="11">
        <f t="shared" si="4"/>
        <v>3</v>
      </c>
      <c r="M30" cm="1">
        <f t="array" ref="M30">NameCode(J30)*E30</f>
        <v>2554110</v>
      </c>
      <c r="N30" cm="1">
        <f t="array" ref="N30">NameCode(K30)*E30</f>
        <v>2235207</v>
      </c>
      <c r="O30" cm="1">
        <f t="array" ref="O30">NameCode(J30)*E30</f>
        <v>2554110</v>
      </c>
      <c r="P30" cm="1">
        <f t="array" ref="P30">NameCode(K30)*E30</f>
        <v>2235207</v>
      </c>
    </row>
    <row r="31" spans="1:16" ht="15" thickBot="1" x14ac:dyDescent="0.4">
      <c r="A31" s="7">
        <f t="shared" si="0"/>
        <v>14441</v>
      </c>
      <c r="B31" s="8">
        <v>14</v>
      </c>
      <c r="C31" s="7">
        <v>4</v>
      </c>
      <c r="D31" s="69">
        <v>4</v>
      </c>
      <c r="E31" s="15">
        <f t="shared" si="1"/>
        <v>1444</v>
      </c>
      <c r="F31" s="9">
        <v>1</v>
      </c>
      <c r="G31" s="10">
        <f t="shared" si="2"/>
        <v>46134</v>
      </c>
      <c r="H31" s="7" t="str">
        <f t="shared" si="3"/>
        <v>Wed</v>
      </c>
      <c r="I31" s="80" t="s">
        <v>675</v>
      </c>
      <c r="J31" s="19" t="s">
        <v>12</v>
      </c>
      <c r="K31" s="19" t="s">
        <v>27</v>
      </c>
      <c r="L31" s="11">
        <f t="shared" si="4"/>
        <v>3</v>
      </c>
      <c r="M31" cm="1">
        <f t="array" ref="M31">NameCode(J31)*E31</f>
        <v>1936404</v>
      </c>
      <c r="N31" cm="1">
        <f t="array" ref="N31">NameCode(K31)*E31</f>
        <v>2555880</v>
      </c>
      <c r="O31" cm="1">
        <f t="array" ref="O31">NameCode(J31)*E31</f>
        <v>1936404</v>
      </c>
      <c r="P31" cm="1">
        <f t="array" ref="P31">NameCode(K31)*E31</f>
        <v>2555880</v>
      </c>
    </row>
    <row r="32" spans="1:16" ht="15" thickBot="1" x14ac:dyDescent="0.4">
      <c r="A32" s="7">
        <f t="shared" si="0"/>
        <v>14451</v>
      </c>
      <c r="B32" s="8">
        <v>14</v>
      </c>
      <c r="C32" s="7">
        <v>4</v>
      </c>
      <c r="D32" s="69">
        <v>5</v>
      </c>
      <c r="E32" s="15">
        <f t="shared" si="1"/>
        <v>1445</v>
      </c>
      <c r="F32" s="9">
        <v>1</v>
      </c>
      <c r="G32" s="10">
        <f t="shared" si="2"/>
        <v>46134</v>
      </c>
      <c r="H32" s="7" t="str">
        <f t="shared" si="3"/>
        <v>Wed</v>
      </c>
      <c r="I32" s="70" t="s">
        <v>673</v>
      </c>
      <c r="J32" s="18" t="s">
        <v>13</v>
      </c>
      <c r="K32" s="18" t="s">
        <v>14</v>
      </c>
      <c r="L32" s="11">
        <f t="shared" si="4"/>
        <v>3</v>
      </c>
      <c r="M32" cm="1">
        <f t="array" ref="M32">NameCode(J32)*E32</f>
        <v>2238305</v>
      </c>
      <c r="N32" cm="1">
        <f t="array" ref="N32">NameCode(K32)*E32</f>
        <v>2694925</v>
      </c>
      <c r="O32" cm="1">
        <f t="array" ref="O32">NameCode(J32)*E32</f>
        <v>2238305</v>
      </c>
      <c r="P32" cm="1">
        <f t="array" ref="P32">NameCode(K32)*E32</f>
        <v>2694925</v>
      </c>
    </row>
    <row r="33" spans="1:16" ht="15" thickBot="1" x14ac:dyDescent="0.4">
      <c r="A33" s="7">
        <f t="shared" si="0"/>
        <v>14511</v>
      </c>
      <c r="B33" s="8">
        <v>14</v>
      </c>
      <c r="C33" s="7">
        <v>5</v>
      </c>
      <c r="D33" s="69">
        <v>1</v>
      </c>
      <c r="E33" s="15">
        <f t="shared" si="1"/>
        <v>1451</v>
      </c>
      <c r="F33" s="9">
        <v>1</v>
      </c>
      <c r="G33" s="10">
        <f t="shared" si="2"/>
        <v>46135</v>
      </c>
      <c r="H33" s="7" t="str">
        <f t="shared" si="3"/>
        <v>Thu</v>
      </c>
      <c r="I33" s="70" t="s">
        <v>672</v>
      </c>
      <c r="J33" s="18" t="s">
        <v>23</v>
      </c>
      <c r="K33" s="18" t="s">
        <v>21</v>
      </c>
      <c r="L33" s="11">
        <f t="shared" si="4"/>
        <v>3</v>
      </c>
      <c r="M33" cm="1">
        <f t="array" ref="M33">NameCode(J33)*E33</f>
        <v>2624859</v>
      </c>
      <c r="N33" cm="1">
        <f t="array" ref="N33">NameCode(K33)*E33</f>
        <v>1955948</v>
      </c>
      <c r="O33" cm="1">
        <f t="array" ref="O33">NameCode(J33)*E33</f>
        <v>2624859</v>
      </c>
      <c r="P33" cm="1">
        <f t="array" ref="P33">NameCode(K33)*E33</f>
        <v>1955948</v>
      </c>
    </row>
    <row r="34" spans="1:16" ht="15" thickBot="1" x14ac:dyDescent="0.4">
      <c r="A34" s="7">
        <f t="shared" si="0"/>
        <v>14512</v>
      </c>
      <c r="B34" s="8">
        <v>14</v>
      </c>
      <c r="C34" s="7">
        <v>5</v>
      </c>
      <c r="D34" s="69">
        <v>1</v>
      </c>
      <c r="E34" s="15">
        <f t="shared" si="1"/>
        <v>1451</v>
      </c>
      <c r="F34" s="9">
        <v>2</v>
      </c>
      <c r="G34" s="10">
        <f t="shared" si="2"/>
        <v>46135</v>
      </c>
      <c r="H34" s="7" t="str">
        <f t="shared" si="3"/>
        <v>Thu</v>
      </c>
      <c r="I34" s="70" t="s">
        <v>675</v>
      </c>
      <c r="J34" s="18" t="s">
        <v>12</v>
      </c>
      <c r="K34" s="18" t="s">
        <v>14</v>
      </c>
      <c r="L34" s="11">
        <f t="shared" si="4"/>
        <v>3</v>
      </c>
      <c r="M34" cm="1">
        <f t="array" ref="M34">NameCode(J34)*E34</f>
        <v>1945791</v>
      </c>
      <c r="N34" cm="1">
        <f t="array" ref="N34">NameCode(K34)*E34</f>
        <v>2706115</v>
      </c>
      <c r="O34" cm="1">
        <f t="array" ref="O34">NameCode(J34)*E34</f>
        <v>1945791</v>
      </c>
      <c r="P34" cm="1">
        <f t="array" ref="P34">NameCode(K34)*E34</f>
        <v>2706115</v>
      </c>
    </row>
    <row r="35" spans="1:16" ht="15" thickBot="1" x14ac:dyDescent="0.4">
      <c r="A35" s="7">
        <f t="shared" si="0"/>
        <v>14521</v>
      </c>
      <c r="B35" s="8">
        <v>14</v>
      </c>
      <c r="C35" s="7">
        <v>5</v>
      </c>
      <c r="D35" s="69">
        <v>2</v>
      </c>
      <c r="E35" s="15">
        <f t="shared" si="1"/>
        <v>1452</v>
      </c>
      <c r="F35" s="9">
        <v>1</v>
      </c>
      <c r="G35" s="10">
        <f t="shared" si="2"/>
        <v>46135</v>
      </c>
      <c r="H35" s="7" t="str">
        <f t="shared" si="3"/>
        <v>Thu</v>
      </c>
      <c r="I35" s="70" t="s">
        <v>672</v>
      </c>
      <c r="J35" s="18" t="s">
        <v>23</v>
      </c>
      <c r="K35" s="18" t="s">
        <v>21</v>
      </c>
      <c r="L35" s="11">
        <f t="shared" si="4"/>
        <v>3</v>
      </c>
      <c r="M35" cm="1">
        <f t="array" ref="M35">NameCode(J35)*E35</f>
        <v>2626668</v>
      </c>
      <c r="N35" cm="1">
        <f t="array" ref="N35">NameCode(K35)*E35</f>
        <v>1957296</v>
      </c>
      <c r="O35" cm="1">
        <f t="array" ref="O35">NameCode(J35)*E35</f>
        <v>2626668</v>
      </c>
      <c r="P35" cm="1">
        <f t="array" ref="P35">NameCode(K35)*E35</f>
        <v>1957296</v>
      </c>
    </row>
    <row r="36" spans="1:16" ht="15" thickBot="1" x14ac:dyDescent="0.4">
      <c r="A36" s="7">
        <f t="shared" si="0"/>
        <v>14522</v>
      </c>
      <c r="B36" s="8">
        <v>14</v>
      </c>
      <c r="C36" s="7">
        <v>5</v>
      </c>
      <c r="D36" s="69">
        <v>2</v>
      </c>
      <c r="E36" s="15">
        <f t="shared" si="1"/>
        <v>1452</v>
      </c>
      <c r="F36" s="9">
        <v>2</v>
      </c>
      <c r="G36" s="10">
        <f t="shared" si="2"/>
        <v>46135</v>
      </c>
      <c r="H36" s="7" t="str">
        <f t="shared" si="3"/>
        <v>Thu</v>
      </c>
      <c r="I36" s="70" t="s">
        <v>675</v>
      </c>
      <c r="J36" s="18" t="s">
        <v>12</v>
      </c>
      <c r="K36" s="18" t="s">
        <v>14</v>
      </c>
      <c r="L36" s="11">
        <f t="shared" si="4"/>
        <v>3</v>
      </c>
      <c r="M36" cm="1">
        <f t="array" ref="M36">NameCode(J36)*E36</f>
        <v>1947132</v>
      </c>
      <c r="N36" cm="1">
        <f t="array" ref="N36">NameCode(K36)*E36</f>
        <v>2707980</v>
      </c>
      <c r="O36" cm="1">
        <f t="array" ref="O36">NameCode(J36)*E36</f>
        <v>1947132</v>
      </c>
      <c r="P36" cm="1">
        <f t="array" ref="P36">NameCode(K36)*E36</f>
        <v>2707980</v>
      </c>
    </row>
    <row r="37" spans="1:16" ht="15" thickBot="1" x14ac:dyDescent="0.4">
      <c r="A37" s="7">
        <f t="shared" si="0"/>
        <v>14531</v>
      </c>
      <c r="B37" s="8">
        <v>14</v>
      </c>
      <c r="C37" s="7">
        <v>5</v>
      </c>
      <c r="D37" s="69">
        <v>3</v>
      </c>
      <c r="E37" s="15">
        <f t="shared" si="1"/>
        <v>1453</v>
      </c>
      <c r="F37" s="9">
        <v>1</v>
      </c>
      <c r="G37" s="10">
        <f t="shared" si="2"/>
        <v>46135</v>
      </c>
      <c r="H37" s="7" t="str">
        <f t="shared" si="3"/>
        <v>Thu</v>
      </c>
      <c r="I37" s="70" t="s">
        <v>674</v>
      </c>
      <c r="J37" s="18" t="s">
        <v>21</v>
      </c>
      <c r="K37" s="18" t="s">
        <v>26</v>
      </c>
      <c r="L37" s="11">
        <f t="shared" si="4"/>
        <v>3</v>
      </c>
      <c r="M37" cm="1">
        <f t="array" ref="M37">NameCode(J37)*E37</f>
        <v>1958644</v>
      </c>
      <c r="N37" cm="1">
        <f t="array" ref="N37">NameCode(K37)*E37</f>
        <v>1933943</v>
      </c>
      <c r="O37" cm="1">
        <f t="array" ref="O37">NameCode(J37)*E37</f>
        <v>1958644</v>
      </c>
      <c r="P37" cm="1">
        <f t="array" ref="P37">NameCode(K37)*E37</f>
        <v>1933943</v>
      </c>
    </row>
    <row r="38" spans="1:16" ht="15" thickBot="1" x14ac:dyDescent="0.4">
      <c r="A38" s="7">
        <f t="shared" si="0"/>
        <v>14532</v>
      </c>
      <c r="B38" s="8">
        <v>14</v>
      </c>
      <c r="C38" s="7">
        <v>5</v>
      </c>
      <c r="D38" s="69">
        <v>3</v>
      </c>
      <c r="E38" s="15">
        <f t="shared" si="1"/>
        <v>1453</v>
      </c>
      <c r="F38" s="9">
        <v>2</v>
      </c>
      <c r="G38" s="10">
        <f t="shared" si="2"/>
        <v>46135</v>
      </c>
      <c r="H38" s="7" t="str">
        <f t="shared" si="3"/>
        <v>Thu</v>
      </c>
      <c r="I38" s="70" t="s">
        <v>672</v>
      </c>
      <c r="J38" s="18" t="s">
        <v>23</v>
      </c>
      <c r="K38" s="18" t="s">
        <v>27</v>
      </c>
      <c r="L38" s="11">
        <f t="shared" si="4"/>
        <v>3</v>
      </c>
      <c r="M38" cm="1">
        <f t="array" ref="M38">NameCode(J38)*E38</f>
        <v>2628477</v>
      </c>
      <c r="N38" cm="1">
        <f t="array" ref="N38">NameCode(K38)*E38</f>
        <v>2571810</v>
      </c>
      <c r="O38" cm="1">
        <f t="array" ref="O38">NameCode(J38)*E38</f>
        <v>2628477</v>
      </c>
      <c r="P38" cm="1">
        <f t="array" ref="P38">NameCode(K38)*E38</f>
        <v>2571810</v>
      </c>
    </row>
    <row r="39" spans="1:16" ht="15" thickBot="1" x14ac:dyDescent="0.4">
      <c r="A39" s="7">
        <f t="shared" si="0"/>
        <v>14533</v>
      </c>
      <c r="B39" s="8">
        <v>14</v>
      </c>
      <c r="C39" s="7">
        <v>5</v>
      </c>
      <c r="D39" s="69">
        <v>3</v>
      </c>
      <c r="E39" s="15">
        <f t="shared" si="1"/>
        <v>1453</v>
      </c>
      <c r="F39" s="9">
        <v>3</v>
      </c>
      <c r="G39" s="10">
        <f t="shared" si="2"/>
        <v>46135</v>
      </c>
      <c r="H39" s="7" t="str">
        <f t="shared" si="3"/>
        <v>Thu</v>
      </c>
      <c r="I39" s="70" t="s">
        <v>675</v>
      </c>
      <c r="J39" s="18" t="s">
        <v>12</v>
      </c>
      <c r="K39" s="18" t="s">
        <v>24</v>
      </c>
      <c r="L39" s="11">
        <f t="shared" si="4"/>
        <v>3</v>
      </c>
      <c r="M39" cm="1">
        <f t="array" ref="M39">NameCode(J39)*E39</f>
        <v>1948473</v>
      </c>
      <c r="N39" cm="1">
        <f t="array" ref="N39">NameCode(K39)*E39</f>
        <v>2262321</v>
      </c>
      <c r="O39" cm="1">
        <f t="array" ref="O39">NameCode(J39)*E39</f>
        <v>1948473</v>
      </c>
      <c r="P39" cm="1">
        <f t="array" ref="P39">NameCode(K39)*E39</f>
        <v>2262321</v>
      </c>
    </row>
    <row r="40" spans="1:16" ht="15" thickBot="1" x14ac:dyDescent="0.4">
      <c r="A40" s="7">
        <f t="shared" si="0"/>
        <v>14541</v>
      </c>
      <c r="B40" s="8">
        <v>14</v>
      </c>
      <c r="C40" s="7">
        <v>5</v>
      </c>
      <c r="D40" s="69">
        <v>4</v>
      </c>
      <c r="E40" s="15">
        <f t="shared" si="1"/>
        <v>1454</v>
      </c>
      <c r="F40" s="9">
        <v>1</v>
      </c>
      <c r="G40" s="10">
        <f t="shared" si="2"/>
        <v>46135</v>
      </c>
      <c r="H40" s="7" t="str">
        <f t="shared" si="3"/>
        <v>Thu</v>
      </c>
      <c r="I40" s="70" t="s">
        <v>674</v>
      </c>
      <c r="J40" s="18" t="s">
        <v>21</v>
      </c>
      <c r="K40" s="18" t="s">
        <v>26</v>
      </c>
      <c r="L40" s="11">
        <f t="shared" si="4"/>
        <v>3</v>
      </c>
      <c r="M40" cm="1">
        <f t="array" ref="M40">NameCode(J40)*E40</f>
        <v>1959992</v>
      </c>
      <c r="N40" cm="1">
        <f t="array" ref="N40">NameCode(K40)*E40</f>
        <v>1935274</v>
      </c>
      <c r="O40" cm="1">
        <f t="array" ref="O40">NameCode(J40)*E40</f>
        <v>1959992</v>
      </c>
      <c r="P40" cm="1">
        <f t="array" ref="P40">NameCode(K40)*E40</f>
        <v>1935274</v>
      </c>
    </row>
    <row r="41" spans="1:16" ht="15" thickBot="1" x14ac:dyDescent="0.4">
      <c r="A41" s="7">
        <f t="shared" si="0"/>
        <v>14542</v>
      </c>
      <c r="B41" s="8">
        <v>14</v>
      </c>
      <c r="C41" s="8">
        <v>5</v>
      </c>
      <c r="D41" s="69">
        <v>4</v>
      </c>
      <c r="E41" s="15">
        <f t="shared" si="1"/>
        <v>1454</v>
      </c>
      <c r="F41" s="9">
        <v>2</v>
      </c>
      <c r="G41" s="10">
        <f t="shared" si="2"/>
        <v>46135</v>
      </c>
      <c r="H41" s="7" t="str">
        <f t="shared" si="3"/>
        <v>Thu</v>
      </c>
      <c r="I41" s="70" t="s">
        <v>672</v>
      </c>
      <c r="J41" s="18" t="s">
        <v>23</v>
      </c>
      <c r="K41" s="18" t="s">
        <v>27</v>
      </c>
      <c r="L41" s="11">
        <f t="shared" si="4"/>
        <v>3</v>
      </c>
      <c r="M41" cm="1">
        <f t="array" ref="M41">NameCode(J41)*E41</f>
        <v>2630286</v>
      </c>
      <c r="N41" cm="1">
        <f t="array" ref="N41">NameCode(K41)*E41</f>
        <v>2573580</v>
      </c>
      <c r="O41" cm="1">
        <f t="array" ref="O41">NameCode(J41)*E41</f>
        <v>2630286</v>
      </c>
      <c r="P41" cm="1">
        <f t="array" ref="P41">NameCode(K41)*E41</f>
        <v>2573580</v>
      </c>
    </row>
    <row r="42" spans="1:16" ht="15" thickBot="1" x14ac:dyDescent="0.4">
      <c r="A42" s="7">
        <f t="shared" si="0"/>
        <v>14543</v>
      </c>
      <c r="B42" s="8">
        <v>14</v>
      </c>
      <c r="C42" s="7">
        <v>5</v>
      </c>
      <c r="D42" s="69">
        <v>4</v>
      </c>
      <c r="E42" s="15">
        <f t="shared" si="1"/>
        <v>1454</v>
      </c>
      <c r="F42" s="9">
        <v>3</v>
      </c>
      <c r="G42" s="10">
        <f t="shared" si="2"/>
        <v>46135</v>
      </c>
      <c r="H42" s="7" t="str">
        <f t="shared" si="3"/>
        <v>Thu</v>
      </c>
      <c r="I42" s="70" t="s">
        <v>675</v>
      </c>
      <c r="J42" s="18" t="s">
        <v>12</v>
      </c>
      <c r="K42" s="18" t="s">
        <v>18</v>
      </c>
      <c r="L42" s="11">
        <f t="shared" si="4"/>
        <v>3</v>
      </c>
      <c r="M42" cm="1">
        <f t="array" ref="M42">NameCode(J42)*E42</f>
        <v>1949814</v>
      </c>
      <c r="N42" cm="1">
        <f t="array" ref="N42">NameCode(K42)*E42</f>
        <v>1747708</v>
      </c>
      <c r="O42" cm="1">
        <f t="array" ref="O42">NameCode(J42)*E42</f>
        <v>1949814</v>
      </c>
      <c r="P42" cm="1">
        <f t="array" ref="P42">NameCode(K42)*E42</f>
        <v>1747708</v>
      </c>
    </row>
    <row r="43" spans="1:16" ht="15" thickBot="1" x14ac:dyDescent="0.4">
      <c r="A43" s="7">
        <f t="shared" si="0"/>
        <v>14551</v>
      </c>
      <c r="B43" s="8">
        <v>14</v>
      </c>
      <c r="C43" s="7">
        <v>5</v>
      </c>
      <c r="D43" s="69">
        <v>5</v>
      </c>
      <c r="E43" s="15">
        <f t="shared" si="1"/>
        <v>1455</v>
      </c>
      <c r="F43" s="9">
        <v>1</v>
      </c>
      <c r="G43" s="10">
        <f t="shared" si="2"/>
        <v>46135</v>
      </c>
      <c r="H43" s="7" t="str">
        <f t="shared" si="3"/>
        <v>Thu</v>
      </c>
      <c r="I43" s="70" t="s">
        <v>673</v>
      </c>
      <c r="J43" s="18" t="s">
        <v>14</v>
      </c>
      <c r="K43" s="18" t="s">
        <v>13</v>
      </c>
      <c r="L43" s="11">
        <f t="shared" si="4"/>
        <v>3</v>
      </c>
      <c r="M43" cm="1">
        <f t="array" ref="M43">NameCode(J43)*E43</f>
        <v>2713575</v>
      </c>
      <c r="N43" cm="1">
        <f t="array" ref="N43">NameCode(K43)*E43</f>
        <v>2253795</v>
      </c>
      <c r="O43" cm="1">
        <f t="array" ref="O43">NameCode(J43)*E43</f>
        <v>2713575</v>
      </c>
      <c r="P43" cm="1">
        <f t="array" ref="P43">NameCode(K43)*E43</f>
        <v>2253795</v>
      </c>
    </row>
    <row r="44" spans="1:16" ht="15" thickBot="1" x14ac:dyDescent="0.4">
      <c r="A44" s="7">
        <f t="shared" si="0"/>
        <v>14611</v>
      </c>
      <c r="B44" s="8">
        <v>14</v>
      </c>
      <c r="C44" s="7">
        <v>6</v>
      </c>
      <c r="D44" s="69">
        <v>1</v>
      </c>
      <c r="E44" s="15">
        <f t="shared" si="1"/>
        <v>1461</v>
      </c>
      <c r="F44" s="9">
        <v>1</v>
      </c>
      <c r="G44" s="10">
        <f t="shared" si="2"/>
        <v>46136</v>
      </c>
      <c r="H44" s="7" t="str">
        <f t="shared" si="3"/>
        <v>Fri</v>
      </c>
      <c r="I44" s="70" t="s">
        <v>672</v>
      </c>
      <c r="J44" s="18" t="s">
        <v>23</v>
      </c>
      <c r="K44" s="18" t="s">
        <v>20</v>
      </c>
      <c r="L44" s="11">
        <f t="shared" si="4"/>
        <v>3</v>
      </c>
      <c r="M44" cm="1">
        <f t="array" ref="M44">NameCode(J44)*E44</f>
        <v>2642949</v>
      </c>
      <c r="N44" cm="1">
        <f t="array" ref="N44">NameCode(K44)*E44</f>
        <v>2016180</v>
      </c>
      <c r="O44" cm="1">
        <f t="array" ref="O44">NameCode(J44)*E44</f>
        <v>2642949</v>
      </c>
      <c r="P44" cm="1">
        <f t="array" ref="P44">NameCode(K44)*E44</f>
        <v>2016180</v>
      </c>
    </row>
    <row r="45" spans="1:16" ht="15" thickBot="1" x14ac:dyDescent="0.4">
      <c r="A45" s="7">
        <f t="shared" si="0"/>
        <v>14612</v>
      </c>
      <c r="B45" s="8">
        <v>14</v>
      </c>
      <c r="C45" s="7">
        <v>6</v>
      </c>
      <c r="D45" s="69">
        <v>1</v>
      </c>
      <c r="E45" s="15">
        <f t="shared" si="1"/>
        <v>1461</v>
      </c>
      <c r="F45" s="9">
        <v>2</v>
      </c>
      <c r="G45" s="10">
        <f t="shared" si="2"/>
        <v>46136</v>
      </c>
      <c r="H45" s="7" t="str">
        <f t="shared" si="3"/>
        <v>Fri</v>
      </c>
      <c r="I45" s="70" t="s">
        <v>673</v>
      </c>
      <c r="J45" s="18" t="s">
        <v>21</v>
      </c>
      <c r="K45" s="18" t="s">
        <v>17</v>
      </c>
      <c r="L45" s="11">
        <f t="shared" si="4"/>
        <v>3</v>
      </c>
      <c r="M45" cm="1">
        <f t="array" ref="M45">NameCode(J45)*E45</f>
        <v>1969428</v>
      </c>
      <c r="N45" cm="1">
        <f t="array" ref="N45">NameCode(K45)*E45</f>
        <v>2327373</v>
      </c>
      <c r="O45" cm="1">
        <f t="array" ref="O45">NameCode(J45)*E45</f>
        <v>1969428</v>
      </c>
      <c r="P45" cm="1">
        <f t="array" ref="P45">NameCode(K45)*E45</f>
        <v>2327373</v>
      </c>
    </row>
    <row r="46" spans="1:16" ht="15" thickBot="1" x14ac:dyDescent="0.4">
      <c r="A46" s="7">
        <f t="shared" si="0"/>
        <v>14621</v>
      </c>
      <c r="B46" s="8">
        <v>14</v>
      </c>
      <c r="C46" s="7">
        <v>6</v>
      </c>
      <c r="D46" s="69">
        <v>2</v>
      </c>
      <c r="E46" s="15">
        <f t="shared" si="1"/>
        <v>1462</v>
      </c>
      <c r="F46" s="9">
        <v>1</v>
      </c>
      <c r="G46" s="10">
        <f t="shared" si="2"/>
        <v>46136</v>
      </c>
      <c r="H46" s="7" t="str">
        <f t="shared" si="3"/>
        <v>Fri</v>
      </c>
      <c r="I46" s="70" t="s">
        <v>672</v>
      </c>
      <c r="J46" s="18" t="s">
        <v>23</v>
      </c>
      <c r="K46" s="18" t="s">
        <v>20</v>
      </c>
      <c r="L46" s="11">
        <f t="shared" si="4"/>
        <v>3</v>
      </c>
      <c r="M46" cm="1">
        <f t="array" ref="M46">NameCode(J46)*E46</f>
        <v>2644758</v>
      </c>
      <c r="N46" cm="1">
        <f t="array" ref="N46">NameCode(K46)*E46</f>
        <v>2017560</v>
      </c>
      <c r="O46" cm="1">
        <f t="array" ref="O46">NameCode(J46)*E46</f>
        <v>2644758</v>
      </c>
      <c r="P46" cm="1">
        <f t="array" ref="P46">NameCode(K46)*E46</f>
        <v>2017560</v>
      </c>
    </row>
    <row r="47" spans="1:16" ht="15" thickBot="1" x14ac:dyDescent="0.4">
      <c r="A47" s="7">
        <f t="shared" si="0"/>
        <v>14622</v>
      </c>
      <c r="B47" s="8">
        <v>14</v>
      </c>
      <c r="C47" s="7">
        <v>6</v>
      </c>
      <c r="D47" s="69">
        <v>2</v>
      </c>
      <c r="E47" s="15">
        <f t="shared" si="1"/>
        <v>1462</v>
      </c>
      <c r="F47" s="9">
        <v>2</v>
      </c>
      <c r="G47" s="10">
        <f t="shared" si="2"/>
        <v>46136</v>
      </c>
      <c r="H47" s="7" t="str">
        <f t="shared" si="3"/>
        <v>Fri</v>
      </c>
      <c r="I47" s="70" t="s">
        <v>673</v>
      </c>
      <c r="J47" s="18" t="s">
        <v>21</v>
      </c>
      <c r="K47" s="18" t="s">
        <v>17</v>
      </c>
      <c r="L47" s="11">
        <f t="shared" si="4"/>
        <v>3</v>
      </c>
      <c r="M47" cm="1">
        <f t="array" ref="M47">NameCode(J47)*E47</f>
        <v>1970776</v>
      </c>
      <c r="N47" cm="1">
        <f t="array" ref="N47">NameCode(K47)*E47</f>
        <v>2328966</v>
      </c>
      <c r="O47" cm="1">
        <f t="array" ref="O47">NameCode(J47)*E47</f>
        <v>1970776</v>
      </c>
      <c r="P47" cm="1">
        <f t="array" ref="P47">NameCode(K47)*E47</f>
        <v>2328966</v>
      </c>
    </row>
    <row r="48" spans="1:16" ht="15" thickBot="1" x14ac:dyDescent="0.4">
      <c r="A48" s="7">
        <f t="shared" si="0"/>
        <v>14651</v>
      </c>
      <c r="B48" s="8">
        <v>14</v>
      </c>
      <c r="C48" s="7">
        <v>6</v>
      </c>
      <c r="D48" s="69">
        <v>5</v>
      </c>
      <c r="E48" s="15">
        <f t="shared" si="1"/>
        <v>1465</v>
      </c>
      <c r="F48" s="9">
        <v>1</v>
      </c>
      <c r="G48" s="10">
        <f t="shared" si="2"/>
        <v>46136</v>
      </c>
      <c r="H48" s="7" t="str">
        <f t="shared" si="3"/>
        <v>Fri</v>
      </c>
      <c r="I48" s="70" t="s">
        <v>673</v>
      </c>
      <c r="J48" s="18" t="s">
        <v>14</v>
      </c>
      <c r="K48" s="18" t="s">
        <v>13</v>
      </c>
      <c r="L48" s="11">
        <f t="shared" si="4"/>
        <v>3</v>
      </c>
      <c r="M48" cm="1">
        <f t="array" ref="M48">NameCode(J48)*E48</f>
        <v>2732225</v>
      </c>
      <c r="N48" cm="1">
        <f t="array" ref="N48">NameCode(K48)*E48</f>
        <v>2269285</v>
      </c>
      <c r="O48" cm="1">
        <f t="array" ref="O48">NameCode(J48)*E48</f>
        <v>2732225</v>
      </c>
      <c r="P48" cm="1">
        <f t="array" ref="P48">NameCode(K48)*E48</f>
        <v>2269285</v>
      </c>
    </row>
    <row r="49" spans="1:12" x14ac:dyDescent="0.35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73" t="s">
        <v>30</v>
      </c>
      <c r="L49" s="73">
        <f>SUM(L45:L48)</f>
        <v>12</v>
      </c>
    </row>
  </sheetData>
  <autoFilter ref="A4:N49" xr:uid="{D3019850-3A41-43BC-BDC3-52ACFFF0EB44}">
    <sortState xmlns:xlrd2="http://schemas.microsoft.com/office/spreadsheetml/2017/richdata2" ref="A5:N49">
      <sortCondition ref="A4:A49"/>
    </sortState>
  </autoFilter>
  <phoneticPr fontId="17" type="noConversion"/>
  <conditionalFormatting sqref="A5:A48">
    <cfRule type="duplicateValues" dxfId="130" priority="69"/>
  </conditionalFormatting>
  <conditionalFormatting sqref="M5:N48">
    <cfRule type="duplicateValues" dxfId="129" priority="71"/>
    <cfRule type="duplicateValues" dxfId="128" priority="72"/>
  </conditionalFormatting>
  <conditionalFormatting sqref="O5:P48">
    <cfRule type="duplicateValues" dxfId="127" priority="75"/>
    <cfRule type="duplicateValues" dxfId="126" priority="76"/>
    <cfRule type="duplicateValues" dxfId="125" priority="77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B9CC-1D8C-4B6A-8DDA-3BADFD90E9D0}">
  <dimension ref="A1:P22"/>
  <sheetViews>
    <sheetView zoomScale="85" zoomScaleNormal="85" workbookViewId="0">
      <selection activeCell="J3" sqref="J1:R1048576"/>
    </sheetView>
  </sheetViews>
  <sheetFormatPr defaultRowHeight="14.5" x14ac:dyDescent="0.35"/>
  <cols>
    <col min="1" max="1" width="5.6328125" customWidth="1"/>
    <col min="2" max="2" width="12.36328125" customWidth="1"/>
    <col min="3" max="3" width="8.6328125" customWidth="1"/>
    <col min="4" max="4" width="9.36328125" customWidth="1"/>
    <col min="5" max="5" width="14.453125" customWidth="1"/>
    <col min="6" max="6" width="14.1796875" customWidth="1"/>
    <col min="7" max="7" width="19.26953125" customWidth="1"/>
    <col min="8" max="8" width="18" customWidth="1"/>
    <col min="9" max="9" width="11.81640625" customWidth="1"/>
    <col min="10" max="10" width="48" customWidth="1"/>
    <col min="11" max="16" width="8.7265625" hidden="1" customWidth="1"/>
    <col min="17" max="18" width="8.7265625" customWidth="1"/>
  </cols>
  <sheetData>
    <row r="1" spans="1:16" ht="29.5" x14ac:dyDescent="0.35">
      <c r="A1" s="83" t="s">
        <v>676</v>
      </c>
      <c r="B1" s="83"/>
      <c r="C1" s="83"/>
      <c r="D1" s="84" t="s">
        <v>677</v>
      </c>
      <c r="E1" s="85">
        <v>46149</v>
      </c>
      <c r="F1" s="86"/>
      <c r="G1" s="86"/>
      <c r="H1" s="86"/>
      <c r="I1" s="86"/>
      <c r="J1" s="86"/>
      <c r="K1" s="86"/>
      <c r="L1" s="56"/>
      <c r="M1" s="56"/>
      <c r="N1" s="56"/>
      <c r="O1" s="56"/>
      <c r="P1" s="56"/>
    </row>
    <row r="2" spans="1:16" ht="29" x14ac:dyDescent="0.35">
      <c r="A2" s="87" t="s">
        <v>678</v>
      </c>
      <c r="B2" s="87" t="s">
        <v>679</v>
      </c>
      <c r="C2" s="87" t="s">
        <v>4</v>
      </c>
      <c r="D2" s="87" t="s">
        <v>2</v>
      </c>
      <c r="E2" s="88" t="s">
        <v>680</v>
      </c>
      <c r="F2" s="89" t="s">
        <v>681</v>
      </c>
      <c r="G2" s="88" t="s">
        <v>682</v>
      </c>
      <c r="H2" s="88" t="s">
        <v>683</v>
      </c>
      <c r="I2" s="90" t="s">
        <v>684</v>
      </c>
      <c r="J2" s="91" t="s">
        <v>685</v>
      </c>
      <c r="K2" s="87" t="s">
        <v>686</v>
      </c>
      <c r="L2" s="92" t="s">
        <v>680</v>
      </c>
      <c r="M2" s="93" t="s">
        <v>681</v>
      </c>
      <c r="N2" s="92" t="s">
        <v>682</v>
      </c>
      <c r="O2" s="92" t="s">
        <v>683</v>
      </c>
      <c r="P2" s="94" t="s">
        <v>684</v>
      </c>
    </row>
    <row r="3" spans="1:16" x14ac:dyDescent="0.35">
      <c r="A3" s="56">
        <v>1</v>
      </c>
      <c r="B3" s="95">
        <f t="shared" ref="B3:B22" si="0">$E$1+C3-1</f>
        <v>46149</v>
      </c>
      <c r="C3" s="56">
        <v>1</v>
      </c>
      <c r="D3" s="99">
        <v>101</v>
      </c>
      <c r="E3" s="96" t="s">
        <v>23</v>
      </c>
      <c r="F3" s="96" t="s">
        <v>638</v>
      </c>
      <c r="G3" s="96" t="s">
        <v>24</v>
      </c>
      <c r="H3" s="96" t="s">
        <v>20</v>
      </c>
      <c r="I3" s="96" t="s">
        <v>86</v>
      </c>
      <c r="J3" s="56" t="str">
        <f t="shared" ref="J3:J22" si="1">CONCATENATE(E3,"_",F3,"_",G3,"_",H3,"_",I3)</f>
        <v>HuongNTC2_HungLD5_SangNM18_VanTTN2_AnNDH2</v>
      </c>
      <c r="K3" s="56">
        <f t="shared" ref="K3" si="2">COUNTIF(defense1_forgroup_code,D3)</f>
        <v>8</v>
      </c>
      <c r="L3" s="97" cm="1">
        <f t="array" aca="1" ref="L3" ca="1">SUMPRODUCT(CODE(MID(E3,ROW(INDIRECT("1:"&amp;LEN(E3))),1))+113)*$C3</f>
        <v>1809</v>
      </c>
      <c r="M3" s="97" cm="1">
        <f t="array" aca="1" ref="M3" ca="1">SUMPRODUCT(CODE(MID(F3,ROW(INDIRECT("1:"&amp;LEN(F3))),1))+113)*$C3</f>
        <v>1390</v>
      </c>
      <c r="N3" s="97" cm="1">
        <f t="array" aca="1" ref="N3" ca="1">SUMPRODUCT(CODE(MID(G3,ROW(INDIRECT("1:"&amp;LEN(G3))),1))+113)*$C3</f>
        <v>1557</v>
      </c>
      <c r="O3" s="97" cm="1">
        <f t="array" aca="1" ref="O3" ca="1">SUMPRODUCT(CODE(MID(H3,ROW(INDIRECT("1:"&amp;LEN(H3))),1))+113)*$C3</f>
        <v>1380</v>
      </c>
      <c r="P3" s="97" cm="1">
        <f t="array" aca="1" ref="P3" ca="1">SUMPRODUCT(CODE(MID(I3,ROW(INDIRECT("1:"&amp;LEN(I3))),1))+113)*$C3</f>
        <v>1121</v>
      </c>
    </row>
    <row r="4" spans="1:16" x14ac:dyDescent="0.35">
      <c r="A4" s="56">
        <v>2</v>
      </c>
      <c r="B4" s="95">
        <f t="shared" si="0"/>
        <v>46149</v>
      </c>
      <c r="C4" s="56">
        <v>1</v>
      </c>
      <c r="D4" s="99">
        <v>102</v>
      </c>
      <c r="E4" s="101" t="s">
        <v>21</v>
      </c>
      <c r="F4" s="96" t="s">
        <v>28</v>
      </c>
      <c r="G4" s="96" t="s">
        <v>27</v>
      </c>
      <c r="H4" s="96" t="s">
        <v>65</v>
      </c>
      <c r="I4" s="96" t="s">
        <v>26</v>
      </c>
      <c r="J4" s="56" t="str">
        <f t="shared" si="1"/>
        <v>DucDNM2_NgocTTM4_HoangNT20_KiemHH_LamNN15</v>
      </c>
      <c r="K4" s="56">
        <f t="shared" ref="K4" si="3">COUNTIF(defense1_forgroup_code,D4)</f>
        <v>7</v>
      </c>
      <c r="L4" s="97" cm="1">
        <f t="array" aca="1" ref="L4" ca="1">SUMPRODUCT(CODE(MID(E4,ROW(INDIRECT("1:"&amp;LEN(E4))),1))+113)*$C4</f>
        <v>1348</v>
      </c>
      <c r="M4" s="97" cm="1">
        <f t="array" aca="1" ref="M4" ca="1">SUMPRODUCT(CODE(MID(F4,ROW(INDIRECT("1:"&amp;LEN(F4))),1))+113)*$C4</f>
        <v>1592</v>
      </c>
      <c r="N4" s="97" cm="1">
        <f t="array" aca="1" ref="N4" ca="1">SUMPRODUCT(CODE(MID(G4,ROW(INDIRECT("1:"&amp;LEN(G4))),1))+113)*$C4</f>
        <v>1770</v>
      </c>
      <c r="O4" s="97" cm="1">
        <f t="array" aca="1" ref="O4" ca="1">SUMPRODUCT(CODE(MID(H4,ROW(INDIRECT("1:"&amp;LEN(H4))),1))+113)*$C4</f>
        <v>1212</v>
      </c>
      <c r="P4" s="97" cm="1">
        <f t="array" aca="1" ref="P4" ca="1">SUMPRODUCT(CODE(MID(I4,ROW(INDIRECT("1:"&amp;LEN(I4))),1))+113)*$C4</f>
        <v>1331</v>
      </c>
    </row>
    <row r="5" spans="1:16" x14ac:dyDescent="0.35">
      <c r="A5" s="56">
        <v>3</v>
      </c>
      <c r="B5" s="95">
        <f t="shared" si="0"/>
        <v>46149</v>
      </c>
      <c r="C5" s="56">
        <v>1</v>
      </c>
      <c r="D5" s="99">
        <v>103</v>
      </c>
      <c r="J5" s="56" t="str">
        <f t="shared" si="1"/>
        <v>____</v>
      </c>
      <c r="K5" s="56">
        <f t="shared" ref="K5" si="4">COUNTIF(defense1_forgroup_code,D5)</f>
        <v>0</v>
      </c>
      <c r="L5" s="97" t="e" cm="1">
        <f t="array" aca="1" ref="L5" ca="1">SUMPRODUCT(CODE(MID(E5,ROW(INDIRECT("1:"&amp;LEN(E5))),1))+113)*$C5</f>
        <v>#REF!</v>
      </c>
      <c r="M5" s="97" t="e" cm="1">
        <f t="array" aca="1" ref="M5" ca="1">SUMPRODUCT(CODE(MID(F5,ROW(INDIRECT("1:"&amp;LEN(F5))),1))+113)*$C5</f>
        <v>#REF!</v>
      </c>
      <c r="N5" s="97" t="e" cm="1">
        <f t="array" aca="1" ref="N5" ca="1">SUMPRODUCT(CODE(MID(G5,ROW(INDIRECT("1:"&amp;LEN(G5))),1))+113)*$C5</f>
        <v>#REF!</v>
      </c>
      <c r="O5" s="97" t="e" cm="1">
        <f t="array" aca="1" ref="O5" ca="1">SUMPRODUCT(CODE(MID(H5,ROW(INDIRECT("1:"&amp;LEN(H5))),1))+113)*$C5</f>
        <v>#REF!</v>
      </c>
      <c r="P5" s="97" t="e" cm="1">
        <f t="array" aca="1" ref="P5" ca="1">SUMPRODUCT(CODE(MID(I5,ROW(INDIRECT("1:"&amp;LEN(I5))),1))+113)*$C5</f>
        <v>#REF!</v>
      </c>
    </row>
    <row r="6" spans="1:16" x14ac:dyDescent="0.35">
      <c r="A6" s="56">
        <v>4</v>
      </c>
      <c r="B6" s="95">
        <f t="shared" si="0"/>
        <v>46149</v>
      </c>
      <c r="C6" s="56">
        <v>1</v>
      </c>
      <c r="D6" s="99">
        <v>104</v>
      </c>
      <c r="E6" s="96" t="s">
        <v>14</v>
      </c>
      <c r="F6" s="101" t="s">
        <v>76</v>
      </c>
      <c r="G6" s="96" t="s">
        <v>13</v>
      </c>
      <c r="H6" s="101" t="s">
        <v>18</v>
      </c>
      <c r="I6" s="101" t="s">
        <v>67</v>
      </c>
      <c r="J6" s="56" t="str">
        <f t="shared" si="1"/>
        <v>PhuongLHK_NguyenTT15_NhanDT35_TriPT9_ThinhDP2</v>
      </c>
      <c r="K6" s="56">
        <f t="shared" ref="K6" si="5">COUNTIF(defense1_forgroup_code,D6)</f>
        <v>7</v>
      </c>
      <c r="L6" s="97" cm="1">
        <f t="array" aca="1" ref="L6" ca="1">SUMPRODUCT(CODE(MID(E6,ROW(INDIRECT("1:"&amp;LEN(E6))),1))+113)*$C6</f>
        <v>1865</v>
      </c>
      <c r="M6" s="97" cm="1">
        <f t="array" aca="1" ref="M6" ca="1">SUMPRODUCT(CODE(MID(F6,ROW(INDIRECT("1:"&amp;LEN(F6))),1))+113)*$C6</f>
        <v>2030</v>
      </c>
      <c r="N6" s="97" cm="1">
        <f t="array" aca="1" ref="N6" ca="1">SUMPRODUCT(CODE(MID(G6,ROW(INDIRECT("1:"&amp;LEN(G6))),1))+113)*$C6</f>
        <v>1549</v>
      </c>
      <c r="O6" s="97" cm="1">
        <f t="array" aca="1" ref="O6" ca="1">SUMPRODUCT(CODE(MID(H6,ROW(INDIRECT("1:"&amp;LEN(H6))),1))+113)*$C6</f>
        <v>1202</v>
      </c>
      <c r="P6" s="97" cm="1">
        <f t="array" aca="1" ref="P6" ca="1">SUMPRODUCT(CODE(MID(I6,ROW(INDIRECT("1:"&amp;LEN(I6))),1))+113)*$C6</f>
        <v>1609</v>
      </c>
    </row>
    <row r="7" spans="1:16" x14ac:dyDescent="0.35">
      <c r="A7" s="56">
        <v>5</v>
      </c>
      <c r="B7" s="95">
        <f t="shared" si="0"/>
        <v>46150</v>
      </c>
      <c r="C7" s="98">
        <v>2</v>
      </c>
      <c r="D7" s="100">
        <v>201</v>
      </c>
      <c r="E7" s="96" t="s">
        <v>23</v>
      </c>
      <c r="F7" s="96" t="s">
        <v>71</v>
      </c>
      <c r="G7" s="101" t="s">
        <v>65</v>
      </c>
      <c r="H7" s="101" t="s">
        <v>88</v>
      </c>
      <c r="I7" s="101" t="s">
        <v>19</v>
      </c>
      <c r="J7" s="56" t="str">
        <f t="shared" si="1"/>
        <v>HuongNTC2_QuynhTNN4_KiemHH_NguHCV_TamPM</v>
      </c>
      <c r="K7" s="56">
        <f t="shared" ref="K7" si="6">COUNTIF(defense1_forgroup_code,D7)</f>
        <v>7</v>
      </c>
      <c r="L7" s="97" cm="1">
        <f t="array" aca="1" ref="L7" ca="1">SUMPRODUCT(CODE(MID(E7,ROW(INDIRECT("1:"&amp;LEN(E7))),1))+113)*$C7</f>
        <v>3618</v>
      </c>
      <c r="M7" s="97" cm="1">
        <f t="array" aca="1" ref="M7" ca="1">SUMPRODUCT(CODE(MID(F7,ROW(INDIRECT("1:"&amp;LEN(F7))),1))+113)*$C7</f>
        <v>3684</v>
      </c>
      <c r="N7" s="97" cm="1">
        <f t="array" aca="1" ref="N7" ca="1">SUMPRODUCT(CODE(MID(G7,ROW(INDIRECT("1:"&amp;LEN(G7))),1))+113)*$C7</f>
        <v>2424</v>
      </c>
      <c r="O7" s="97" cm="1">
        <f t="array" aca="1" ref="O7" ca="1">SUMPRODUCT(CODE(MID(H7,ROW(INDIRECT("1:"&amp;LEN(H7))),1))+113)*$C7</f>
        <v>2402</v>
      </c>
      <c r="P7" s="97" cm="1">
        <f t="array" aca="1" ref="P7" ca="1">SUMPRODUCT(CODE(MID(I7,ROW(INDIRECT("1:"&amp;LEN(I7))),1))+113)*$C7</f>
        <v>2024</v>
      </c>
    </row>
    <row r="8" spans="1:16" x14ac:dyDescent="0.35">
      <c r="A8" s="56">
        <v>6</v>
      </c>
      <c r="B8" s="95">
        <f t="shared" si="0"/>
        <v>46150</v>
      </c>
      <c r="C8" s="98">
        <v>2</v>
      </c>
      <c r="D8" s="100">
        <v>202</v>
      </c>
      <c r="E8" s="103"/>
      <c r="F8" s="103"/>
      <c r="G8" s="104"/>
      <c r="H8" s="103"/>
      <c r="I8" s="104"/>
      <c r="J8" s="56" t="str">
        <f t="shared" si="1"/>
        <v>____</v>
      </c>
      <c r="K8" s="56">
        <f t="shared" ref="K8" si="7">COUNTIF(defense1_forgroup_code,D8)</f>
        <v>0</v>
      </c>
      <c r="L8" s="97" t="e" cm="1">
        <f t="array" aca="1" ref="L8" ca="1">SUMPRODUCT(CODE(MID(E8,ROW(INDIRECT("1:"&amp;LEN(E8))),1))+113)*$C8</f>
        <v>#REF!</v>
      </c>
      <c r="M8" s="97" t="e" cm="1">
        <f t="array" aca="1" ref="M8" ca="1">SUMPRODUCT(CODE(MID(F8,ROW(INDIRECT("1:"&amp;LEN(F8))),1))+113)*$C8</f>
        <v>#REF!</v>
      </c>
      <c r="N8" s="97" t="e" cm="1">
        <f t="array" aca="1" ref="N8" ca="1">SUMPRODUCT(CODE(MID(G8,ROW(INDIRECT("1:"&amp;LEN(G8))),1))+113)*$C8</f>
        <v>#REF!</v>
      </c>
      <c r="O8" s="97" t="e" cm="1">
        <f t="array" aca="1" ref="O8" ca="1">SUMPRODUCT(CODE(MID(H8,ROW(INDIRECT("1:"&amp;LEN(H8))),1))+113)*$C8</f>
        <v>#REF!</v>
      </c>
      <c r="P8" s="97" t="e" cm="1">
        <f t="array" aca="1" ref="P8" ca="1">SUMPRODUCT(CODE(MID(I8,ROW(INDIRECT("1:"&amp;LEN(I8))),1))+113)*$C8</f>
        <v>#REF!</v>
      </c>
    </row>
    <row r="9" spans="1:16" x14ac:dyDescent="0.35">
      <c r="A9" s="56">
        <v>7</v>
      </c>
      <c r="B9" s="95">
        <f t="shared" si="0"/>
        <v>46150</v>
      </c>
      <c r="C9" s="98">
        <v>2</v>
      </c>
      <c r="D9" s="100">
        <v>203</v>
      </c>
      <c r="E9" s="101" t="s">
        <v>21</v>
      </c>
      <c r="F9" s="96" t="s">
        <v>638</v>
      </c>
      <c r="G9" s="96" t="s">
        <v>13</v>
      </c>
      <c r="H9" s="101" t="s">
        <v>18</v>
      </c>
      <c r="I9" s="104" t="s">
        <v>26</v>
      </c>
      <c r="J9" s="56" t="str">
        <f t="shared" si="1"/>
        <v>DucDNM2_HungLD5_NhanDT35_TriPT9_LamNN15</v>
      </c>
      <c r="K9" s="56">
        <f t="shared" ref="K9" si="8">COUNTIF(defense1_forgroup_code,D9)</f>
        <v>7</v>
      </c>
      <c r="L9" s="97" cm="1">
        <f t="array" aca="1" ref="L9" ca="1">SUMPRODUCT(CODE(MID(E9,ROW(INDIRECT("1:"&amp;LEN(E9))),1))+113)*$C9</f>
        <v>2696</v>
      </c>
      <c r="M9" s="97" cm="1">
        <f t="array" aca="1" ref="M9" ca="1">SUMPRODUCT(CODE(MID(F9,ROW(INDIRECT("1:"&amp;LEN(F9))),1))+113)*$C9</f>
        <v>2780</v>
      </c>
      <c r="N9" s="97" cm="1">
        <f t="array" aca="1" ref="N9" ca="1">SUMPRODUCT(CODE(MID(G9,ROW(INDIRECT("1:"&amp;LEN(G9))),1))+113)*$C9</f>
        <v>3098</v>
      </c>
      <c r="O9" s="97" cm="1">
        <f t="array" aca="1" ref="O9" ca="1">SUMPRODUCT(CODE(MID(H9,ROW(INDIRECT("1:"&amp;LEN(H9))),1))+113)*$C9</f>
        <v>2404</v>
      </c>
      <c r="P9" s="97" cm="1">
        <f t="array" aca="1" ref="P9" ca="1">SUMPRODUCT(CODE(MID(I9,ROW(INDIRECT("1:"&amp;LEN(I9))),1))+113)*$C9</f>
        <v>2662</v>
      </c>
    </row>
    <row r="10" spans="1:16" x14ac:dyDescent="0.35">
      <c r="A10" s="56">
        <v>8</v>
      </c>
      <c r="B10" s="95">
        <f t="shared" si="0"/>
        <v>46150</v>
      </c>
      <c r="C10" s="98">
        <v>2</v>
      </c>
      <c r="D10" s="100">
        <v>204</v>
      </c>
      <c r="E10" s="96" t="s">
        <v>14</v>
      </c>
      <c r="F10" s="96" t="s">
        <v>16</v>
      </c>
      <c r="G10" s="101" t="s">
        <v>25</v>
      </c>
      <c r="H10" s="96" t="s">
        <v>17</v>
      </c>
      <c r="I10" s="101" t="s">
        <v>67</v>
      </c>
      <c r="J10" s="56" t="str">
        <f t="shared" si="1"/>
        <v>PhuongLHK_PhucNT40_VuLNS_MinhTTH5_ThinhDP2</v>
      </c>
      <c r="K10" s="56">
        <f t="shared" ref="K10" si="9">COUNTIF(defense1_forgroup_code,D10)</f>
        <v>8</v>
      </c>
      <c r="L10" s="97" cm="1">
        <f t="array" aca="1" ref="L10" ca="1">SUMPRODUCT(CODE(MID(E10,ROW(INDIRECT("1:"&amp;LEN(E10))),1))+113)*$C10</f>
        <v>3730</v>
      </c>
      <c r="M10" s="97" cm="1">
        <f t="array" aca="1" ref="M10" ca="1">SUMPRODUCT(CODE(MID(F10,ROW(INDIRECT("1:"&amp;LEN(F10))),1))+113)*$C10</f>
        <v>3132</v>
      </c>
      <c r="N10" s="97" cm="1">
        <f t="array" aca="1" ref="N10" ca="1">SUMPRODUCT(CODE(MID(G10,ROW(INDIRECT("1:"&amp;LEN(G10))),1))+113)*$C10</f>
        <v>2010</v>
      </c>
      <c r="O10" s="97" cm="1">
        <f t="array" aca="1" ref="O10" ca="1">SUMPRODUCT(CODE(MID(H10,ROW(INDIRECT("1:"&amp;LEN(H10))),1))+113)*$C10</f>
        <v>3186</v>
      </c>
      <c r="P10" s="97" cm="1">
        <f t="array" aca="1" ref="P10" ca="1">SUMPRODUCT(CODE(MID(I10,ROW(INDIRECT("1:"&amp;LEN(I10))),1))+113)*$C10</f>
        <v>3218</v>
      </c>
    </row>
    <row r="11" spans="1:16" ht="29" x14ac:dyDescent="0.35">
      <c r="A11" s="56">
        <v>9</v>
      </c>
      <c r="B11" s="95">
        <f t="shared" si="0"/>
        <v>46151</v>
      </c>
      <c r="C11" s="56">
        <v>3</v>
      </c>
      <c r="D11" s="99">
        <v>301</v>
      </c>
      <c r="E11" s="96" t="s">
        <v>23</v>
      </c>
      <c r="F11" s="101" t="s">
        <v>20</v>
      </c>
      <c r="G11" s="96" t="s">
        <v>19</v>
      </c>
      <c r="H11" s="104" t="s">
        <v>692</v>
      </c>
      <c r="I11" s="96" t="s">
        <v>26</v>
      </c>
      <c r="J11" s="56" t="str">
        <f t="shared" si="1"/>
        <v>HuongNTC2_VanTTN2_TamPM_LinhNV (Long Chau)_LamNN15</v>
      </c>
      <c r="K11" s="56">
        <f t="shared" ref="K11" si="10">COUNTIF(defense1_forgroup_code,D11)</f>
        <v>7</v>
      </c>
      <c r="L11" s="97" cm="1">
        <f t="array" aca="1" ref="L11" ca="1">SUMPRODUCT(CODE(MID(E11,ROW(INDIRECT("1:"&amp;LEN(E11))),1))+113)*$C11</f>
        <v>5427</v>
      </c>
      <c r="M11" s="97" cm="1">
        <f t="array" aca="1" ref="M11" ca="1">SUMPRODUCT(CODE(MID(F11,ROW(INDIRECT("1:"&amp;LEN(F11))),1))+113)*$C11</f>
        <v>4140</v>
      </c>
      <c r="N11" s="97" cm="1">
        <f t="array" aca="1" ref="N11" ca="1">SUMPRODUCT(CODE(MID(G11,ROW(INDIRECT("1:"&amp;LEN(G11))),1))+113)*$C11</f>
        <v>3036</v>
      </c>
      <c r="O11" s="97" cm="1">
        <f t="array" aca="1" ref="O11" ca="1">SUMPRODUCT(CODE(MID(H11,ROW(INDIRECT("1:"&amp;LEN(H11))),1))+113)*$C11</f>
        <v>10569</v>
      </c>
      <c r="P11" s="97" cm="1">
        <f t="array" aca="1" ref="P11" ca="1">SUMPRODUCT(CODE(MID(I11,ROW(INDIRECT("1:"&amp;LEN(I11))),1))+113)*$C11</f>
        <v>3993</v>
      </c>
    </row>
    <row r="12" spans="1:16" x14ac:dyDescent="0.35">
      <c r="A12" s="56">
        <v>10</v>
      </c>
      <c r="B12" s="95">
        <f t="shared" si="0"/>
        <v>46151</v>
      </c>
      <c r="C12" s="56">
        <v>3</v>
      </c>
      <c r="D12" s="99">
        <v>302</v>
      </c>
      <c r="E12" s="96" t="s">
        <v>12</v>
      </c>
      <c r="F12" s="96" t="s">
        <v>71</v>
      </c>
      <c r="G12" s="96" t="s">
        <v>86</v>
      </c>
      <c r="H12" s="96" t="s">
        <v>17</v>
      </c>
      <c r="I12" s="96" t="s">
        <v>22</v>
      </c>
      <c r="J12" s="56" t="str">
        <f t="shared" si="1"/>
        <v>TaiNT51_QuynhTNN4_AnNDH2_MinhTTH5_TruongLV11</v>
      </c>
      <c r="K12" s="56">
        <f t="shared" ref="K12" si="11">COUNTIF(defense1_forgroup_code,D12)</f>
        <v>8</v>
      </c>
      <c r="L12" s="97" cm="1">
        <f t="array" aca="1" ref="L12" ca="1">SUMPRODUCT(CODE(MID(E12,ROW(INDIRECT("1:"&amp;LEN(E12))),1))+113)*$C12</f>
        <v>4023</v>
      </c>
      <c r="M12" s="97" cm="1">
        <f t="array" aca="1" ref="M12" ca="1">SUMPRODUCT(CODE(MID(F12,ROW(INDIRECT("1:"&amp;LEN(F12))),1))+113)*$C12</f>
        <v>5526</v>
      </c>
      <c r="N12" s="97" cm="1">
        <f t="array" aca="1" ref="N12" ca="1">SUMPRODUCT(CODE(MID(G12,ROW(INDIRECT("1:"&amp;LEN(G12))),1))+113)*$C12</f>
        <v>3363</v>
      </c>
      <c r="O12" s="97" cm="1">
        <f t="array" aca="1" ref="O12" ca="1">SUMPRODUCT(CODE(MID(H12,ROW(INDIRECT("1:"&amp;LEN(H12))),1))+113)*$C12</f>
        <v>4779</v>
      </c>
      <c r="P12" s="97" cm="1">
        <f t="array" aca="1" ref="P12" ca="1">SUMPRODUCT(CODE(MID(I12,ROW(INDIRECT("1:"&amp;LEN(I12))),1))+113)*$C12</f>
        <v>6087</v>
      </c>
    </row>
    <row r="13" spans="1:16" x14ac:dyDescent="0.35">
      <c r="A13" s="56">
        <v>11</v>
      </c>
      <c r="B13" s="95">
        <f t="shared" si="0"/>
        <v>46151</v>
      </c>
      <c r="C13" s="56">
        <v>3</v>
      </c>
      <c r="D13" s="99">
        <v>303</v>
      </c>
      <c r="E13" s="96" t="s">
        <v>21</v>
      </c>
      <c r="F13" s="101" t="s">
        <v>690</v>
      </c>
      <c r="G13" s="96" t="s">
        <v>27</v>
      </c>
      <c r="H13" s="101" t="s">
        <v>18</v>
      </c>
      <c r="I13" s="101" t="s">
        <v>32</v>
      </c>
      <c r="J13" s="56" t="str">
        <f t="shared" si="1"/>
        <v>DucDNM2_NgocTT4_HoangNT20_TriPT9_LongT5</v>
      </c>
      <c r="K13" s="56">
        <f t="shared" ref="K13" si="12">COUNTIF(defense1_forgroup_code,D13)</f>
        <v>7</v>
      </c>
      <c r="L13" s="97" cm="1">
        <f t="array" aca="1" ref="L13" ca="1">SUMPRODUCT(CODE(MID(E13,ROW(INDIRECT("1:"&amp;LEN(E13))),1))+113)*$C13</f>
        <v>4044</v>
      </c>
      <c r="M13" s="97" cm="1">
        <f t="array" aca="1" ref="M13" ca="1">SUMPRODUCT(CODE(MID(F13,ROW(INDIRECT("1:"&amp;LEN(F13))),1))+113)*$C13</f>
        <v>4206</v>
      </c>
      <c r="N13" s="97" cm="1">
        <f t="array" aca="1" ref="N13" ca="1">SUMPRODUCT(CODE(MID(G13,ROW(INDIRECT("1:"&amp;LEN(G13))),1))+113)*$C13</f>
        <v>5310</v>
      </c>
      <c r="O13" s="97" cm="1">
        <f t="array" aca="1" ref="O13" ca="1">SUMPRODUCT(CODE(MID(H13,ROW(INDIRECT("1:"&amp;LEN(H13))),1))+113)*$C13</f>
        <v>3606</v>
      </c>
      <c r="P13" s="97" cm="1">
        <f t="array" aca="1" ref="P13" ca="1">SUMPRODUCT(CODE(MID(I13,ROW(INDIRECT("1:"&amp;LEN(I13))),1))+113)*$C13</f>
        <v>3645</v>
      </c>
    </row>
    <row r="14" spans="1:16" x14ac:dyDescent="0.35">
      <c r="A14" s="56">
        <v>12</v>
      </c>
      <c r="B14" s="95">
        <f t="shared" si="0"/>
        <v>46151</v>
      </c>
      <c r="C14" s="56">
        <v>3</v>
      </c>
      <c r="D14" s="99">
        <v>304</v>
      </c>
      <c r="E14" s="96" t="s">
        <v>14</v>
      </c>
      <c r="F14" s="96" t="s">
        <v>16</v>
      </c>
      <c r="G14" s="96" t="s">
        <v>24</v>
      </c>
      <c r="H14" s="101" t="s">
        <v>25</v>
      </c>
      <c r="I14" s="96" t="s">
        <v>13</v>
      </c>
      <c r="J14" s="56" t="str">
        <f t="shared" si="1"/>
        <v>PhuongLHK_PhucNT40_SangNM18_VuLNS_NhanDT35</v>
      </c>
      <c r="K14" s="56">
        <f t="shared" ref="K14" si="13">COUNTIF(defense1_forgroup_code,D14)</f>
        <v>7</v>
      </c>
      <c r="L14" s="97" cm="1">
        <f t="array" aca="1" ref="L14" ca="1">SUMPRODUCT(CODE(MID(E14,ROW(INDIRECT("1:"&amp;LEN(E14))),1))+113)*$C14</f>
        <v>5595</v>
      </c>
      <c r="M14" s="97" cm="1">
        <f t="array" aca="1" ref="M14" ca="1">SUMPRODUCT(CODE(MID(F14,ROW(INDIRECT("1:"&amp;LEN(F14))),1))+113)*$C14</f>
        <v>4698</v>
      </c>
      <c r="N14" s="97" cm="1">
        <f t="array" aca="1" ref="N14" ca="1">SUMPRODUCT(CODE(MID(G14,ROW(INDIRECT("1:"&amp;LEN(G14))),1))+113)*$C14</f>
        <v>4671</v>
      </c>
      <c r="O14" s="97" cm="1">
        <f t="array" aca="1" ref="O14" ca="1">SUMPRODUCT(CODE(MID(H14,ROW(INDIRECT("1:"&amp;LEN(H14))),1))+113)*$C14</f>
        <v>3015</v>
      </c>
      <c r="P14" s="97" cm="1">
        <f t="array" aca="1" ref="P14" ca="1">SUMPRODUCT(CODE(MID(I14,ROW(INDIRECT("1:"&amp;LEN(I14))),1))+113)*$C14</f>
        <v>4647</v>
      </c>
    </row>
    <row r="15" spans="1:16" x14ac:dyDescent="0.35">
      <c r="A15" s="56">
        <v>13</v>
      </c>
      <c r="B15" s="95">
        <f t="shared" si="0"/>
        <v>46152</v>
      </c>
      <c r="C15" s="56">
        <v>4</v>
      </c>
      <c r="D15" s="99">
        <v>401</v>
      </c>
      <c r="E15" s="96" t="s">
        <v>23</v>
      </c>
      <c r="F15" s="107" t="s">
        <v>76</v>
      </c>
      <c r="G15" s="101" t="s">
        <v>24</v>
      </c>
      <c r="H15" s="96" t="s">
        <v>20</v>
      </c>
      <c r="I15" s="101" t="s">
        <v>67</v>
      </c>
      <c r="J15" s="56" t="str">
        <f t="shared" si="1"/>
        <v>HuongNTC2_NguyenTT15_SangNM18_VanTTN2_ThinhDP2</v>
      </c>
      <c r="K15" s="56">
        <f t="shared" ref="K15" si="14">COUNTIF(defense1_forgroup_code,D15)</f>
        <v>7</v>
      </c>
      <c r="L15" s="97" cm="1">
        <f t="array" aca="1" ref="L15" ca="1">SUMPRODUCT(CODE(MID(E15,ROW(INDIRECT("1:"&amp;LEN(E15))),1))+113)*$C15</f>
        <v>7236</v>
      </c>
      <c r="M15" s="97" cm="1">
        <f t="array" aca="1" ref="M15" ca="1">SUMPRODUCT(CODE(MID(F15,ROW(INDIRECT("1:"&amp;LEN(F15))),1))+113)*$C15</f>
        <v>8120</v>
      </c>
      <c r="N15" s="97" cm="1">
        <f t="array" aca="1" ref="N15" ca="1">SUMPRODUCT(CODE(MID(G15,ROW(INDIRECT("1:"&amp;LEN(G15))),1))+113)*$C15</f>
        <v>6228</v>
      </c>
      <c r="O15" s="97" cm="1">
        <f t="array" aca="1" ref="O15" ca="1">SUMPRODUCT(CODE(MID(H15,ROW(INDIRECT("1:"&amp;LEN(H15))),1))+113)*$C15</f>
        <v>5520</v>
      </c>
      <c r="P15" s="97" cm="1">
        <f t="array" aca="1" ref="P15" ca="1">SUMPRODUCT(CODE(MID(I15,ROW(INDIRECT("1:"&amp;LEN(I15))),1))+113)*$C15</f>
        <v>6436</v>
      </c>
    </row>
    <row r="16" spans="1:16" x14ac:dyDescent="0.35">
      <c r="A16" s="56">
        <v>14</v>
      </c>
      <c r="B16" s="95">
        <f t="shared" si="0"/>
        <v>46152</v>
      </c>
      <c r="C16" s="98">
        <v>4</v>
      </c>
      <c r="D16" s="100">
        <v>402</v>
      </c>
      <c r="E16" s="96" t="s">
        <v>12</v>
      </c>
      <c r="F16" s="96" t="s">
        <v>29</v>
      </c>
      <c r="G16" s="101" t="s">
        <v>18</v>
      </c>
      <c r="H16" s="96" t="s">
        <v>17</v>
      </c>
      <c r="I16" s="96" t="s">
        <v>22</v>
      </c>
      <c r="J16" s="56" t="str">
        <f t="shared" si="1"/>
        <v>TaiNT51_ThongNT_TriPT9_MinhTTH5_TruongLV11</v>
      </c>
      <c r="K16" s="56">
        <f t="shared" ref="K16" si="15">COUNTIF(defense1_forgroup_code,D16)</f>
        <v>8</v>
      </c>
      <c r="L16" s="97" cm="1">
        <f t="array" aca="1" ref="L16" ca="1">SUMPRODUCT(CODE(MID(E16,ROW(INDIRECT("1:"&amp;LEN(E16))),1))+113)*$C16</f>
        <v>5364</v>
      </c>
      <c r="M16" s="97" cm="1">
        <f t="array" aca="1" ref="M16" ca="1">SUMPRODUCT(CODE(MID(F16,ROW(INDIRECT("1:"&amp;LEN(F16))),1))+113)*$C16</f>
        <v>5860</v>
      </c>
      <c r="N16" s="97" cm="1">
        <f t="array" aca="1" ref="N16" ca="1">SUMPRODUCT(CODE(MID(G16,ROW(INDIRECT("1:"&amp;LEN(G16))),1))+113)*$C16</f>
        <v>4808</v>
      </c>
      <c r="O16" s="97" cm="1">
        <f t="array" aca="1" ref="O16" ca="1">SUMPRODUCT(CODE(MID(H16,ROW(INDIRECT("1:"&amp;LEN(H16))),1))+113)*$C16</f>
        <v>6372</v>
      </c>
      <c r="P16" s="97" cm="1">
        <f t="array" aca="1" ref="P16" ca="1">SUMPRODUCT(CODE(MID(I16,ROW(INDIRECT("1:"&amp;LEN(I16))),1))+113)*$C16</f>
        <v>8116</v>
      </c>
    </row>
    <row r="17" spans="1:16" x14ac:dyDescent="0.35">
      <c r="A17" s="56">
        <v>15</v>
      </c>
      <c r="B17" s="95">
        <f t="shared" si="0"/>
        <v>46152</v>
      </c>
      <c r="C17" s="98">
        <v>4</v>
      </c>
      <c r="D17" s="100">
        <v>403</v>
      </c>
      <c r="E17" s="103" t="s">
        <v>640</v>
      </c>
      <c r="F17" s="96" t="s">
        <v>28</v>
      </c>
      <c r="G17" s="96" t="s">
        <v>27</v>
      </c>
      <c r="H17" s="101" t="s">
        <v>32</v>
      </c>
      <c r="I17" s="104" t="s">
        <v>21</v>
      </c>
      <c r="J17" s="56" t="str">
        <f t="shared" si="1"/>
        <v>SuTV_NgocTTM4_HoangNT20_LongT5_DucDNM2</v>
      </c>
      <c r="K17" s="56">
        <f t="shared" ref="K17" si="16">COUNTIF(defense1_forgroup_code,D17)</f>
        <v>7</v>
      </c>
      <c r="L17" s="97" cm="1">
        <f t="array" aca="1" ref="L17" ca="1">SUMPRODUCT(CODE(MID(E17,ROW(INDIRECT("1:"&amp;LEN(E17))),1))+113)*$C17</f>
        <v>3288</v>
      </c>
      <c r="M17" s="97" cm="1">
        <f t="array" aca="1" ref="M17" ca="1">SUMPRODUCT(CODE(MID(F17,ROW(INDIRECT("1:"&amp;LEN(F17))),1))+113)*$C17</f>
        <v>6368</v>
      </c>
      <c r="N17" s="97" cm="1">
        <f t="array" aca="1" ref="N17" ca="1">SUMPRODUCT(CODE(MID(G17,ROW(INDIRECT("1:"&amp;LEN(G17))),1))+113)*$C17</f>
        <v>7080</v>
      </c>
      <c r="O17" s="97" cm="1">
        <f t="array" aca="1" ref="O17" ca="1">SUMPRODUCT(CODE(MID(H17,ROW(INDIRECT("1:"&amp;LEN(H17))),1))+113)*$C17</f>
        <v>4860</v>
      </c>
      <c r="P17" s="97" cm="1">
        <f t="array" aca="1" ref="P17" ca="1">SUMPRODUCT(CODE(MID(I17,ROW(INDIRECT("1:"&amp;LEN(I17))),1))+113)*$C17</f>
        <v>5392</v>
      </c>
    </row>
    <row r="18" spans="1:16" x14ac:dyDescent="0.35">
      <c r="A18" s="56">
        <v>16</v>
      </c>
      <c r="B18" s="95">
        <f t="shared" si="0"/>
        <v>46152</v>
      </c>
      <c r="C18" s="98">
        <v>4</v>
      </c>
      <c r="D18" s="100">
        <v>404</v>
      </c>
      <c r="E18" s="96" t="s">
        <v>14</v>
      </c>
      <c r="F18" s="101" t="s">
        <v>638</v>
      </c>
      <c r="G18" s="101" t="s">
        <v>13</v>
      </c>
      <c r="H18" s="101" t="s">
        <v>25</v>
      </c>
      <c r="I18" s="101" t="s">
        <v>19</v>
      </c>
      <c r="J18" s="56" t="str">
        <f t="shared" si="1"/>
        <v>PhuongLHK_HungLD5_NhanDT35_VuLNS_TamPM</v>
      </c>
      <c r="K18" s="56">
        <f t="shared" ref="K18" si="17">COUNTIF(defense1_forgroup_code,D18)</f>
        <v>7</v>
      </c>
      <c r="L18" s="97" cm="1">
        <f t="array" aca="1" ref="L18" ca="1">SUMPRODUCT(CODE(MID(E18,ROW(INDIRECT("1:"&amp;LEN(E18))),1))+113)*$C18</f>
        <v>7460</v>
      </c>
      <c r="M18" s="97" cm="1">
        <f t="array" aca="1" ref="M18" ca="1">SUMPRODUCT(CODE(MID(F18,ROW(INDIRECT("1:"&amp;LEN(F18))),1))+113)*$C18</f>
        <v>5560</v>
      </c>
      <c r="N18" s="97" cm="1">
        <f t="array" aca="1" ref="N18" ca="1">SUMPRODUCT(CODE(MID(G18,ROW(INDIRECT("1:"&amp;LEN(G18))),1))+113)*$C18</f>
        <v>6196</v>
      </c>
      <c r="O18" s="97" cm="1">
        <f t="array" aca="1" ref="O18" ca="1">SUMPRODUCT(CODE(MID(H18,ROW(INDIRECT("1:"&amp;LEN(H18))),1))+113)*$C18</f>
        <v>4020</v>
      </c>
      <c r="P18" s="97" cm="1">
        <f t="array" aca="1" ref="P18" ca="1">SUMPRODUCT(CODE(MID(I18,ROW(INDIRECT("1:"&amp;LEN(I18))),1))+113)*$C18</f>
        <v>4048</v>
      </c>
    </row>
    <row r="19" spans="1:16" x14ac:dyDescent="0.35">
      <c r="A19" s="56">
        <v>17</v>
      </c>
      <c r="B19" s="95">
        <f t="shared" si="0"/>
        <v>46153</v>
      </c>
      <c r="C19" s="98">
        <v>5</v>
      </c>
      <c r="D19" s="99">
        <v>501</v>
      </c>
      <c r="E19" s="96"/>
      <c r="F19" s="96"/>
      <c r="G19" s="96"/>
      <c r="H19" s="96"/>
      <c r="I19" s="96"/>
      <c r="J19" s="56" t="str">
        <f t="shared" si="1"/>
        <v>____</v>
      </c>
      <c r="K19" s="56">
        <f t="shared" ref="K19" si="18">COUNTIF(defense1_forgroup_code,D19)</f>
        <v>0</v>
      </c>
      <c r="L19" s="97" t="e" cm="1">
        <f t="array" aca="1" ref="L19" ca="1">SUMPRODUCT(CODE(MID(E19,ROW(INDIRECT("1:"&amp;LEN(E19))),1))+113)*$C19</f>
        <v>#REF!</v>
      </c>
      <c r="M19" s="97" t="e" cm="1">
        <f t="array" aca="1" ref="M19" ca="1">SUMPRODUCT(CODE(MID(F19,ROW(INDIRECT("1:"&amp;LEN(F19))),1))+113)*$C19</f>
        <v>#REF!</v>
      </c>
      <c r="N19" s="97" t="e" cm="1">
        <f t="array" aca="1" ref="N19" ca="1">SUMPRODUCT(CODE(MID(G19,ROW(INDIRECT("1:"&amp;LEN(G19))),1))+113)*$C19</f>
        <v>#REF!</v>
      </c>
      <c r="O19" s="97" t="e" cm="1">
        <f t="array" aca="1" ref="O19" ca="1">SUMPRODUCT(CODE(MID(H19,ROW(INDIRECT("1:"&amp;LEN(H19))),1))+113)*$C19</f>
        <v>#REF!</v>
      </c>
      <c r="P19" s="97" t="e" cm="1">
        <f t="array" aca="1" ref="P19" ca="1">SUMPRODUCT(CODE(MID(I19,ROW(INDIRECT("1:"&amp;LEN(I19))),1))+113)*$C19</f>
        <v>#REF!</v>
      </c>
    </row>
    <row r="20" spans="1:16" x14ac:dyDescent="0.35">
      <c r="A20" s="56">
        <v>18</v>
      </c>
      <c r="B20" s="95">
        <f t="shared" si="0"/>
        <v>46153</v>
      </c>
      <c r="C20" s="98">
        <v>5</v>
      </c>
      <c r="D20" s="100">
        <v>502</v>
      </c>
      <c r="E20" s="96"/>
      <c r="F20" s="96"/>
      <c r="G20" s="96"/>
      <c r="H20" s="96"/>
      <c r="I20" s="96"/>
      <c r="J20" s="56" t="str">
        <f t="shared" si="1"/>
        <v>____</v>
      </c>
      <c r="K20" s="56">
        <f t="shared" ref="K20" si="19">COUNTIF(defense1_forgroup_code,D20)</f>
        <v>0</v>
      </c>
      <c r="L20" s="97" t="e" cm="1">
        <f t="array" aca="1" ref="L20" ca="1">SUMPRODUCT(CODE(MID(E20,ROW(INDIRECT("1:"&amp;LEN(E20))),1))+113)*$C20</f>
        <v>#REF!</v>
      </c>
      <c r="M20" s="97" t="e" cm="1">
        <f t="array" aca="1" ref="M20" ca="1">SUMPRODUCT(CODE(MID(F20,ROW(INDIRECT("1:"&amp;LEN(F20))),1))+113)*$C20</f>
        <v>#REF!</v>
      </c>
      <c r="N20" s="97" t="e" cm="1">
        <f t="array" aca="1" ref="N20" ca="1">SUMPRODUCT(CODE(MID(G20,ROW(INDIRECT("1:"&amp;LEN(G20))),1))+113)*$C20</f>
        <v>#REF!</v>
      </c>
      <c r="O20" s="97" t="e" cm="1">
        <f t="array" aca="1" ref="O20" ca="1">SUMPRODUCT(CODE(MID(H20,ROW(INDIRECT("1:"&amp;LEN(H20))),1))+113)*$C20</f>
        <v>#REF!</v>
      </c>
      <c r="P20" s="97" t="e" cm="1">
        <f t="array" aca="1" ref="P20" ca="1">SUMPRODUCT(CODE(MID(I20,ROW(INDIRECT("1:"&amp;LEN(I20))),1))+113)*$C20</f>
        <v>#REF!</v>
      </c>
    </row>
    <row r="21" spans="1:16" x14ac:dyDescent="0.35">
      <c r="A21" s="56">
        <v>19</v>
      </c>
      <c r="B21" s="95">
        <f t="shared" si="0"/>
        <v>46153</v>
      </c>
      <c r="C21" s="56">
        <v>5</v>
      </c>
      <c r="D21" s="99">
        <v>503</v>
      </c>
      <c r="E21" s="96"/>
      <c r="F21" s="96"/>
      <c r="G21" s="96"/>
      <c r="H21" s="96"/>
      <c r="I21" s="96"/>
      <c r="J21" s="56" t="str">
        <f t="shared" si="1"/>
        <v>____</v>
      </c>
      <c r="K21" s="56">
        <f t="shared" ref="K21" si="20">COUNTIF(defense1_forgroup_code,D21)</f>
        <v>0</v>
      </c>
      <c r="L21" s="97" t="e" cm="1">
        <f t="array" aca="1" ref="L21" ca="1">SUMPRODUCT(CODE(MID(E21,ROW(INDIRECT("1:"&amp;LEN(E21))),1))+113)*$C21</f>
        <v>#REF!</v>
      </c>
      <c r="M21" s="97" t="e" cm="1">
        <f t="array" aca="1" ref="M21" ca="1">SUMPRODUCT(CODE(MID(F21,ROW(INDIRECT("1:"&amp;LEN(F21))),1))+113)*$C21</f>
        <v>#REF!</v>
      </c>
      <c r="N21" s="97" t="e" cm="1">
        <f t="array" aca="1" ref="N21" ca="1">SUMPRODUCT(CODE(MID(G21,ROW(INDIRECT("1:"&amp;LEN(G21))),1))+113)*$C21</f>
        <v>#REF!</v>
      </c>
      <c r="O21" s="97" t="e" cm="1">
        <f t="array" aca="1" ref="O21" ca="1">SUMPRODUCT(CODE(MID(H21,ROW(INDIRECT("1:"&amp;LEN(H21))),1))+113)*$C21</f>
        <v>#REF!</v>
      </c>
      <c r="P21" s="97" t="e" cm="1">
        <f t="array" aca="1" ref="P21" ca="1">SUMPRODUCT(CODE(MID(I21,ROW(INDIRECT("1:"&amp;LEN(I21))),1))+113)*$C21</f>
        <v>#REF!</v>
      </c>
    </row>
    <row r="22" spans="1:16" x14ac:dyDescent="0.35">
      <c r="A22" s="56">
        <v>20</v>
      </c>
      <c r="B22" s="95">
        <f t="shared" si="0"/>
        <v>46153</v>
      </c>
      <c r="C22" s="56">
        <v>5</v>
      </c>
      <c r="D22" s="100">
        <v>504</v>
      </c>
      <c r="E22" s="96"/>
      <c r="F22" s="96"/>
      <c r="G22" s="96"/>
      <c r="H22" s="96"/>
      <c r="I22" s="96"/>
      <c r="J22" s="56" t="str">
        <f t="shared" si="1"/>
        <v>____</v>
      </c>
      <c r="K22" s="56">
        <f t="shared" ref="K22" si="21">COUNTIF(defense1_forgroup_code,D22)</f>
        <v>0</v>
      </c>
      <c r="L22" s="97" t="e" cm="1">
        <f t="array" aca="1" ref="L22" ca="1">SUMPRODUCT(CODE(MID(E22,ROW(INDIRECT("1:"&amp;LEN(E22))),1))+113)*$C22</f>
        <v>#REF!</v>
      </c>
      <c r="M22" s="97" t="e" cm="1">
        <f t="array" aca="1" ref="M22" ca="1">SUMPRODUCT(CODE(MID(F22,ROW(INDIRECT("1:"&amp;LEN(F22))),1))+113)*$C22</f>
        <v>#REF!</v>
      </c>
      <c r="N22" s="97" t="e" cm="1">
        <f t="array" aca="1" ref="N22" ca="1">SUMPRODUCT(CODE(MID(G22,ROW(INDIRECT("1:"&amp;LEN(G22))),1))+113)*$C22</f>
        <v>#REF!</v>
      </c>
      <c r="O22" s="97" t="e" cm="1">
        <f t="array" aca="1" ref="O22" ca="1">SUMPRODUCT(CODE(MID(H22,ROW(INDIRECT("1:"&amp;LEN(H22))),1))+113)*$C22</f>
        <v>#REF!</v>
      </c>
      <c r="P22" s="97" t="e" cm="1">
        <f t="array" aca="1" ref="P22" ca="1">SUMPRODUCT(CODE(MID(I22,ROW(INDIRECT("1:"&amp;LEN(I22))),1))+113)*$C22</f>
        <v>#REF!</v>
      </c>
    </row>
  </sheetData>
  <conditionalFormatting sqref="D11:D15">
    <cfRule type="duplicateValues" dxfId="124" priority="24"/>
  </conditionalFormatting>
  <conditionalFormatting sqref="D19 D21">
    <cfRule type="duplicateValues" dxfId="123" priority="21"/>
  </conditionalFormatting>
  <conditionalFormatting sqref="E3:I4 E6:I6">
    <cfRule type="duplicateValues" dxfId="122" priority="10"/>
  </conditionalFormatting>
  <conditionalFormatting sqref="E7:I7">
    <cfRule type="duplicateValues" dxfId="121" priority="4"/>
  </conditionalFormatting>
  <conditionalFormatting sqref="E8:I10">
    <cfRule type="duplicateValues" dxfId="120" priority="9"/>
  </conditionalFormatting>
  <conditionalFormatting sqref="E11:I11 E13:I14">
    <cfRule type="duplicateValues" dxfId="119" priority="8"/>
  </conditionalFormatting>
  <conditionalFormatting sqref="E12:I12">
    <cfRule type="duplicateValues" dxfId="118" priority="3"/>
  </conditionalFormatting>
  <conditionalFormatting sqref="E15:I15">
    <cfRule type="duplicateValues" dxfId="117" priority="1"/>
    <cfRule type="duplicateValues" dxfId="116" priority="2"/>
  </conditionalFormatting>
  <conditionalFormatting sqref="E16:I18">
    <cfRule type="duplicateValues" dxfId="115" priority="5"/>
  </conditionalFormatting>
  <conditionalFormatting sqref="E18:I18 E17 G17:I17 E16:I16">
    <cfRule type="duplicateValues" dxfId="114" priority="7"/>
  </conditionalFormatting>
  <conditionalFormatting sqref="E19:I22">
    <cfRule type="duplicateValues" dxfId="113" priority="20"/>
  </conditionalFormatting>
  <conditionalFormatting sqref="F17">
    <cfRule type="duplicateValues" dxfId="112" priority="6"/>
  </conditionalFormatting>
  <conditionalFormatting sqref="L3:P22">
    <cfRule type="duplicateValues" dxfId="111" priority="19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4D9F-1B48-4CBB-B250-DAD8C0A87413}">
  <dimension ref="A1:P22"/>
  <sheetViews>
    <sheetView topLeftCell="C2" zoomScale="85" zoomScaleNormal="85" workbookViewId="0">
      <selection activeCell="H5" sqref="H5"/>
    </sheetView>
  </sheetViews>
  <sheetFormatPr defaultRowHeight="14.5" x14ac:dyDescent="0.35"/>
  <cols>
    <col min="1" max="1" width="5.6328125" customWidth="1"/>
    <col min="2" max="2" width="12.36328125" customWidth="1"/>
    <col min="3" max="3" width="8.6328125" customWidth="1"/>
    <col min="4" max="4" width="9.36328125" customWidth="1"/>
    <col min="5" max="5" width="14.453125" customWidth="1"/>
    <col min="6" max="6" width="14.1796875" customWidth="1"/>
    <col min="7" max="7" width="19.26953125" customWidth="1"/>
    <col min="8" max="8" width="18" customWidth="1"/>
    <col min="9" max="9" width="11.81640625" customWidth="1"/>
    <col min="10" max="10" width="48" customWidth="1"/>
    <col min="11" max="18" width="8.7265625" customWidth="1"/>
  </cols>
  <sheetData>
    <row r="1" spans="1:16" ht="29.5" x14ac:dyDescent="0.35">
      <c r="A1" s="83" t="s">
        <v>676</v>
      </c>
      <c r="B1" s="83"/>
      <c r="C1" s="83"/>
      <c r="D1" s="84" t="s">
        <v>677</v>
      </c>
      <c r="E1" s="85">
        <v>46180</v>
      </c>
      <c r="F1" s="86"/>
      <c r="G1" s="86"/>
      <c r="H1" s="86"/>
      <c r="I1" s="86"/>
      <c r="J1" s="86"/>
      <c r="K1" s="86"/>
      <c r="L1" s="56"/>
      <c r="M1" s="56"/>
      <c r="N1" s="56"/>
      <c r="O1" s="56"/>
      <c r="P1" s="56"/>
    </row>
    <row r="2" spans="1:16" ht="29" x14ac:dyDescent="0.35">
      <c r="A2" s="87" t="s">
        <v>678</v>
      </c>
      <c r="B2" s="87" t="s">
        <v>679</v>
      </c>
      <c r="C2" s="87" t="s">
        <v>4</v>
      </c>
      <c r="D2" s="87" t="s">
        <v>2</v>
      </c>
      <c r="E2" s="88" t="s">
        <v>680</v>
      </c>
      <c r="F2" s="89" t="s">
        <v>681</v>
      </c>
      <c r="G2" s="88" t="s">
        <v>682</v>
      </c>
      <c r="H2" s="88" t="s">
        <v>683</v>
      </c>
      <c r="I2" s="90" t="s">
        <v>684</v>
      </c>
      <c r="J2" s="91" t="s">
        <v>685</v>
      </c>
      <c r="K2" s="87" t="s">
        <v>686</v>
      </c>
      <c r="L2" s="92" t="s">
        <v>680</v>
      </c>
      <c r="M2" s="93" t="s">
        <v>681</v>
      </c>
      <c r="N2" s="92" t="s">
        <v>682</v>
      </c>
      <c r="O2" s="92" t="s">
        <v>683</v>
      </c>
      <c r="P2" s="94" t="s">
        <v>684</v>
      </c>
    </row>
    <row r="3" spans="1:16" x14ac:dyDescent="0.35">
      <c r="A3" s="56">
        <v>1</v>
      </c>
      <c r="B3" s="95">
        <f t="shared" ref="B3:B22" si="0">$E$1+C3-1</f>
        <v>46180</v>
      </c>
      <c r="C3" s="56">
        <v>1</v>
      </c>
      <c r="D3" s="99">
        <v>101</v>
      </c>
      <c r="E3" s="125" t="s">
        <v>23</v>
      </c>
      <c r="F3" s="125" t="s">
        <v>638</v>
      </c>
      <c r="G3" s="125" t="s">
        <v>24</v>
      </c>
      <c r="H3" s="125" t="s">
        <v>19</v>
      </c>
      <c r="I3" s="125" t="s">
        <v>26</v>
      </c>
      <c r="J3" s="56" t="str">
        <f t="shared" ref="J3:J22" si="1">CONCATENATE(E3,"_",F3,"_",G3,"_",H3,"_",I3)</f>
        <v>HuongNTC2_HungLD5_SangNM18_TamPM_LamNN15</v>
      </c>
      <c r="K3" s="56">
        <f>COUNTIF(defense2_forgroup_code,D3)</f>
        <v>9</v>
      </c>
      <c r="L3" s="97" cm="1">
        <f t="array" aca="1" ref="L3" ca="1">SUMPRODUCT(CODE(MID(E3,ROW(INDIRECT("1:"&amp;LEN(E3))),1))+113)*$C3</f>
        <v>1809</v>
      </c>
      <c r="M3" s="97" cm="1">
        <f t="array" aca="1" ref="M3" ca="1">SUMPRODUCT(CODE(MID(F3,ROW(INDIRECT("1:"&amp;LEN(F3))),1))+113)*$C3</f>
        <v>1390</v>
      </c>
      <c r="N3" s="97" cm="1">
        <f t="array" aca="1" ref="N3" ca="1">SUMPRODUCT(CODE(MID(G3,ROW(INDIRECT("1:"&amp;LEN(G3))),1))+113)*$C3</f>
        <v>1557</v>
      </c>
      <c r="O3" s="97" cm="1">
        <f t="array" aca="1" ref="O3" ca="1">SUMPRODUCT(CODE(MID(H3,ROW(INDIRECT("1:"&amp;LEN(H3))),1))+113)*$C3</f>
        <v>1012</v>
      </c>
      <c r="P3" s="97" cm="1">
        <f t="array" aca="1" ref="P3" ca="1">SUMPRODUCT(CODE(MID(I3,ROW(INDIRECT("1:"&amp;LEN(I3))),1))+113)*$C3</f>
        <v>1331</v>
      </c>
    </row>
    <row r="4" spans="1:16" x14ac:dyDescent="0.35">
      <c r="A4" s="56">
        <v>2</v>
      </c>
      <c r="B4" s="95">
        <f t="shared" si="0"/>
        <v>46180</v>
      </c>
      <c r="C4" s="56">
        <v>1</v>
      </c>
      <c r="D4" s="99">
        <v>102</v>
      </c>
      <c r="E4" s="126" t="s">
        <v>21</v>
      </c>
      <c r="F4" s="125" t="s">
        <v>20</v>
      </c>
      <c r="G4" s="125" t="s">
        <v>27</v>
      </c>
      <c r="H4" s="125" t="s">
        <v>88</v>
      </c>
      <c r="I4" s="125" t="s">
        <v>32</v>
      </c>
      <c r="J4" s="56" t="str">
        <f t="shared" si="1"/>
        <v>DucDNM2_VanTTN2_HoangNT20_NguHCV_LongT5</v>
      </c>
      <c r="K4" s="56">
        <f>COUNTIF(defense2_forgroup_code,D4)</f>
        <v>9</v>
      </c>
      <c r="L4" s="97" cm="1">
        <f t="array" aca="1" ref="L4" ca="1">SUMPRODUCT(CODE(MID(E4,ROW(INDIRECT("1:"&amp;LEN(E4))),1))+113)*$C4</f>
        <v>1348</v>
      </c>
      <c r="M4" s="97" cm="1">
        <f t="array" aca="1" ref="M4" ca="1">SUMPRODUCT(CODE(MID(F4,ROW(INDIRECT("1:"&amp;LEN(F4))),1))+113)*$C4</f>
        <v>1380</v>
      </c>
      <c r="N4" s="97" cm="1">
        <f t="array" aca="1" ref="N4" ca="1">SUMPRODUCT(CODE(MID(G4,ROW(INDIRECT("1:"&amp;LEN(G4))),1))+113)*$C4</f>
        <v>1770</v>
      </c>
      <c r="O4" s="97" cm="1">
        <f t="array" aca="1" ref="O4" ca="1">SUMPRODUCT(CODE(MID(H4,ROW(INDIRECT("1:"&amp;LEN(H4))),1))+113)*$C4</f>
        <v>1201</v>
      </c>
      <c r="P4" s="97" cm="1">
        <f t="array" aca="1" ref="P4" ca="1">SUMPRODUCT(CODE(MID(I4,ROW(INDIRECT("1:"&amp;LEN(I4))),1))+113)*$C4</f>
        <v>1215</v>
      </c>
    </row>
    <row r="5" spans="1:16" x14ac:dyDescent="0.35">
      <c r="A5" s="56">
        <v>3</v>
      </c>
      <c r="B5" s="95">
        <f t="shared" si="0"/>
        <v>46180</v>
      </c>
      <c r="C5" s="56">
        <v>1</v>
      </c>
      <c r="D5" s="99">
        <v>103</v>
      </c>
      <c r="E5" s="125" t="s">
        <v>12</v>
      </c>
      <c r="F5" s="125" t="s">
        <v>71</v>
      </c>
      <c r="G5" s="125" t="s">
        <v>86</v>
      </c>
      <c r="H5" s="125" t="s">
        <v>17</v>
      </c>
      <c r="I5" s="125" t="s">
        <v>25</v>
      </c>
      <c r="J5" s="56" t="str">
        <f t="shared" si="1"/>
        <v>TaiNT51_QuynhTNN4_AnNDH2_MinhTTH5_VuLNS</v>
      </c>
      <c r="K5" s="56">
        <f>COUNTIF(defense2_forgroup_code,D5)</f>
        <v>8</v>
      </c>
      <c r="L5" s="97" cm="1">
        <f t="array" aca="1" ref="L5" ca="1">SUMPRODUCT(CODE(MID(E5,ROW(INDIRECT("1:"&amp;LEN(E5))),1))+113)*$C5</f>
        <v>1341</v>
      </c>
      <c r="M5" s="97" cm="1">
        <f t="array" aca="1" ref="M5" ca="1">SUMPRODUCT(CODE(MID(F5,ROW(INDIRECT("1:"&amp;LEN(F5))),1))+113)*$C5</f>
        <v>1842</v>
      </c>
      <c r="N5" s="97" cm="1">
        <f t="array" aca="1" ref="N5" ca="1">SUMPRODUCT(CODE(MID(G5,ROW(INDIRECT("1:"&amp;LEN(G5))),1))+113)*$C5</f>
        <v>1121</v>
      </c>
      <c r="O5" s="97" cm="1">
        <f t="array" aca="1" ref="O5" ca="1">SUMPRODUCT(CODE(MID(H5,ROW(INDIRECT("1:"&amp;LEN(H5))),1))+113)*$C5</f>
        <v>1593</v>
      </c>
      <c r="P5" s="97" cm="1">
        <f t="array" aca="1" ref="P5" ca="1">SUMPRODUCT(CODE(MID(I5,ROW(INDIRECT("1:"&amp;LEN(I5))),1))+113)*$C5</f>
        <v>1005</v>
      </c>
    </row>
    <row r="6" spans="1:16" x14ac:dyDescent="0.35">
      <c r="A6" s="56">
        <v>4</v>
      </c>
      <c r="B6" s="95">
        <f t="shared" si="0"/>
        <v>46180</v>
      </c>
      <c r="C6" s="56">
        <v>1</v>
      </c>
      <c r="D6" s="99">
        <v>104</v>
      </c>
      <c r="E6" s="125" t="s">
        <v>14</v>
      </c>
      <c r="F6" s="126" t="s">
        <v>76</v>
      </c>
      <c r="G6" s="125" t="s">
        <v>13</v>
      </c>
      <c r="H6" s="126" t="s">
        <v>18</v>
      </c>
      <c r="I6" s="126" t="s">
        <v>67</v>
      </c>
      <c r="J6" s="56" t="str">
        <f t="shared" si="1"/>
        <v>PhuongLHK_NguyenTT15_NhanDT35_TriPT9_ThinhDP2</v>
      </c>
      <c r="K6" s="56">
        <f>COUNTIF(defense2_forgroup_code,D6)</f>
        <v>9</v>
      </c>
      <c r="L6" s="97" cm="1">
        <f t="array" aca="1" ref="L6" ca="1">SUMPRODUCT(CODE(MID(E6,ROW(INDIRECT("1:"&amp;LEN(E6))),1))+113)*$C6</f>
        <v>1865</v>
      </c>
      <c r="M6" s="97" cm="1">
        <f t="array" aca="1" ref="M6" ca="1">SUMPRODUCT(CODE(MID(F6,ROW(INDIRECT("1:"&amp;LEN(F6))),1))+113)*$C6</f>
        <v>2030</v>
      </c>
      <c r="N6" s="97" cm="1">
        <f t="array" aca="1" ref="N6" ca="1">SUMPRODUCT(CODE(MID(G6,ROW(INDIRECT("1:"&amp;LEN(G6))),1))+113)*$C6</f>
        <v>1549</v>
      </c>
      <c r="O6" s="97" cm="1">
        <f t="array" aca="1" ref="O6" ca="1">SUMPRODUCT(CODE(MID(H6,ROW(INDIRECT("1:"&amp;LEN(H6))),1))+113)*$C6</f>
        <v>1202</v>
      </c>
      <c r="P6" s="97" cm="1">
        <f t="array" aca="1" ref="P6" ca="1">SUMPRODUCT(CODE(MID(I6,ROW(INDIRECT("1:"&amp;LEN(I6))),1))+113)*$C6</f>
        <v>1609</v>
      </c>
    </row>
    <row r="7" spans="1:16" x14ac:dyDescent="0.35">
      <c r="A7" s="56">
        <v>5</v>
      </c>
      <c r="B7" s="95">
        <f t="shared" si="0"/>
        <v>46181</v>
      </c>
      <c r="C7" s="98">
        <v>2</v>
      </c>
      <c r="D7" s="100">
        <v>201</v>
      </c>
      <c r="E7" s="125" t="s">
        <v>23</v>
      </c>
      <c r="F7" s="125" t="s">
        <v>71</v>
      </c>
      <c r="G7" s="126" t="s">
        <v>24</v>
      </c>
      <c r="H7" s="126" t="s">
        <v>67</v>
      </c>
      <c r="I7" s="126" t="s">
        <v>19</v>
      </c>
      <c r="J7" s="56" t="str">
        <f t="shared" si="1"/>
        <v>HuongNTC2_QuynhTNN4_SangNM18_ThinhDP2_TamPM</v>
      </c>
      <c r="K7" s="56">
        <f>COUNTIF(defense2_forgroup_code,D7)</f>
        <v>2</v>
      </c>
      <c r="L7" s="97" cm="1">
        <f t="array" aca="1" ref="L7" ca="1">SUMPRODUCT(CODE(MID(E7,ROW(INDIRECT("1:"&amp;LEN(E7))),1))+113)*$C7</f>
        <v>3618</v>
      </c>
      <c r="M7" s="97" cm="1">
        <f t="array" aca="1" ref="M7" ca="1">SUMPRODUCT(CODE(MID(F7,ROW(INDIRECT("1:"&amp;LEN(F7))),1))+113)*$C7</f>
        <v>3684</v>
      </c>
      <c r="N7" s="97" cm="1">
        <f t="array" aca="1" ref="N7" ca="1">SUMPRODUCT(CODE(MID(G7,ROW(INDIRECT("1:"&amp;LEN(G7))),1))+113)*$C7</f>
        <v>3114</v>
      </c>
      <c r="O7" s="97" cm="1">
        <f t="array" aca="1" ref="O7" ca="1">SUMPRODUCT(CODE(MID(H7,ROW(INDIRECT("1:"&amp;LEN(H7))),1))+113)*$C7</f>
        <v>3218</v>
      </c>
      <c r="P7" s="97" cm="1">
        <f t="array" aca="1" ref="P7" ca="1">SUMPRODUCT(CODE(MID(I7,ROW(INDIRECT("1:"&amp;LEN(I7))),1))+113)*$C7</f>
        <v>2024</v>
      </c>
    </row>
    <row r="8" spans="1:16" x14ac:dyDescent="0.35">
      <c r="A8" s="56">
        <v>6</v>
      </c>
      <c r="B8" s="95">
        <f t="shared" si="0"/>
        <v>46181</v>
      </c>
      <c r="C8" s="98">
        <v>2</v>
      </c>
      <c r="D8" s="100">
        <v>202</v>
      </c>
      <c r="E8" s="125" t="s">
        <v>12</v>
      </c>
      <c r="F8" s="125" t="s">
        <v>29</v>
      </c>
      <c r="G8" s="125" t="s">
        <v>86</v>
      </c>
      <c r="H8" s="125" t="s">
        <v>17</v>
      </c>
      <c r="I8" s="125" t="s">
        <v>28</v>
      </c>
      <c r="J8" s="56" t="str">
        <f t="shared" si="1"/>
        <v>TaiNT51_ThongNT_AnNDH2_MinhTTH5_NgocTTM4</v>
      </c>
      <c r="K8" s="56">
        <f>COUNTIF(defense2_forgroup_code,D8)</f>
        <v>2</v>
      </c>
      <c r="L8" s="97" cm="1">
        <f t="array" aca="1" ref="L8" ca="1">SUMPRODUCT(CODE(MID(E8,ROW(INDIRECT("1:"&amp;LEN(E8))),1))+113)*$C8</f>
        <v>2682</v>
      </c>
      <c r="M8" s="97" cm="1">
        <f t="array" aca="1" ref="M8" ca="1">SUMPRODUCT(CODE(MID(F8,ROW(INDIRECT("1:"&amp;LEN(F8))),1))+113)*$C8</f>
        <v>2930</v>
      </c>
      <c r="N8" s="97" cm="1">
        <f t="array" aca="1" ref="N8" ca="1">SUMPRODUCT(CODE(MID(G8,ROW(INDIRECT("1:"&amp;LEN(G8))),1))+113)*$C8</f>
        <v>2242</v>
      </c>
      <c r="O8" s="97" cm="1">
        <f t="array" aca="1" ref="O8" ca="1">SUMPRODUCT(CODE(MID(H8,ROW(INDIRECT("1:"&amp;LEN(H8))),1))+113)*$C8</f>
        <v>3186</v>
      </c>
      <c r="P8" s="97" cm="1">
        <f t="array" aca="1" ref="P8" ca="1">SUMPRODUCT(CODE(MID(I8,ROW(INDIRECT("1:"&amp;LEN(I8))),1))+113)*$C8</f>
        <v>3184</v>
      </c>
    </row>
    <row r="9" spans="1:16" x14ac:dyDescent="0.35">
      <c r="A9" s="56">
        <v>7</v>
      </c>
      <c r="B9" s="95">
        <f t="shared" si="0"/>
        <v>46181</v>
      </c>
      <c r="C9" s="98">
        <v>2</v>
      </c>
      <c r="D9" s="100">
        <v>203</v>
      </c>
      <c r="E9" s="126" t="s">
        <v>21</v>
      </c>
      <c r="F9" s="125" t="s">
        <v>638</v>
      </c>
      <c r="G9" s="125" t="s">
        <v>27</v>
      </c>
      <c r="H9" s="126" t="s">
        <v>18</v>
      </c>
      <c r="I9" s="126" t="s">
        <v>26</v>
      </c>
      <c r="J9" s="56" t="str">
        <f t="shared" si="1"/>
        <v>DucDNM2_HungLD5_HoangNT20_TriPT9_LamNN15</v>
      </c>
      <c r="K9" s="56">
        <f>COUNTIF(defense2_forgroup_code,D9)</f>
        <v>2</v>
      </c>
      <c r="L9" s="97" cm="1">
        <f t="array" aca="1" ref="L9" ca="1">SUMPRODUCT(CODE(MID(E9,ROW(INDIRECT("1:"&amp;LEN(E9))),1))+113)*$C9</f>
        <v>2696</v>
      </c>
      <c r="M9" s="97" cm="1">
        <f t="array" aca="1" ref="M9" ca="1">SUMPRODUCT(CODE(MID(F9,ROW(INDIRECT("1:"&amp;LEN(F9))),1))+113)*$C9</f>
        <v>2780</v>
      </c>
      <c r="N9" s="97" cm="1">
        <f t="array" aca="1" ref="N9" ca="1">SUMPRODUCT(CODE(MID(G9,ROW(INDIRECT("1:"&amp;LEN(G9))),1))+113)*$C9</f>
        <v>3540</v>
      </c>
      <c r="O9" s="97" cm="1">
        <f t="array" aca="1" ref="O9" ca="1">SUMPRODUCT(CODE(MID(H9,ROW(INDIRECT("1:"&amp;LEN(H9))),1))+113)*$C9</f>
        <v>2404</v>
      </c>
      <c r="P9" s="97" cm="1">
        <f t="array" aca="1" ref="P9" ca="1">SUMPRODUCT(CODE(MID(I9,ROW(INDIRECT("1:"&amp;LEN(I9))),1))+113)*$C9</f>
        <v>2662</v>
      </c>
    </row>
    <row r="10" spans="1:16" x14ac:dyDescent="0.35">
      <c r="A10" s="56">
        <v>8</v>
      </c>
      <c r="B10" s="95">
        <f t="shared" si="0"/>
        <v>46181</v>
      </c>
      <c r="C10" s="98">
        <v>2</v>
      </c>
      <c r="D10" s="100">
        <v>204</v>
      </c>
      <c r="E10" s="125" t="s">
        <v>14</v>
      </c>
      <c r="F10" s="125" t="s">
        <v>15</v>
      </c>
      <c r="G10" s="126" t="s">
        <v>25</v>
      </c>
      <c r="H10" s="125" t="s">
        <v>13</v>
      </c>
      <c r="I10" s="126" t="s">
        <v>32</v>
      </c>
      <c r="J10" s="56" t="str">
        <f t="shared" si="1"/>
        <v>PhuongLHK_ChiLTQ6_VuLNS_NhanDT35_LongT5</v>
      </c>
      <c r="K10" s="56">
        <f>COUNTIF(defense2_forgroup_code,D10)</f>
        <v>2</v>
      </c>
      <c r="L10" s="97" cm="1">
        <f t="array" aca="1" ref="L10" ca="1">SUMPRODUCT(CODE(MID(E10,ROW(INDIRECT("1:"&amp;LEN(E10))),1))+113)*$C10</f>
        <v>3730</v>
      </c>
      <c r="M10" s="97" cm="1">
        <f t="array" aca="1" ref="M10" ca="1">SUMPRODUCT(CODE(MID(F10,ROW(INDIRECT("1:"&amp;LEN(F10))),1))+113)*$C10</f>
        <v>2724</v>
      </c>
      <c r="N10" s="97" cm="1">
        <f t="array" aca="1" ref="N10" ca="1">SUMPRODUCT(CODE(MID(G10,ROW(INDIRECT("1:"&amp;LEN(G10))),1))+113)*$C10</f>
        <v>2010</v>
      </c>
      <c r="O10" s="97" cm="1">
        <f t="array" aca="1" ref="O10" ca="1">SUMPRODUCT(CODE(MID(H10,ROW(INDIRECT("1:"&amp;LEN(H10))),1))+113)*$C10</f>
        <v>3098</v>
      </c>
      <c r="P10" s="97" cm="1">
        <f t="array" aca="1" ref="P10" ca="1">SUMPRODUCT(CODE(MID(I10,ROW(INDIRECT("1:"&amp;LEN(I10))),1))+113)*$C10</f>
        <v>2430</v>
      </c>
    </row>
    <row r="11" spans="1:16" x14ac:dyDescent="0.35">
      <c r="A11" s="56">
        <v>9</v>
      </c>
      <c r="B11" s="95">
        <f t="shared" si="0"/>
        <v>46182</v>
      </c>
      <c r="C11" s="56">
        <v>3</v>
      </c>
      <c r="D11" s="99">
        <v>301</v>
      </c>
      <c r="E11" s="125" t="s">
        <v>23</v>
      </c>
      <c r="F11" s="126" t="s">
        <v>15</v>
      </c>
      <c r="G11" s="125" t="s">
        <v>19</v>
      </c>
      <c r="H11" s="126" t="s">
        <v>20</v>
      </c>
      <c r="I11" s="125" t="s">
        <v>26</v>
      </c>
      <c r="J11" s="56" t="str">
        <f t="shared" si="1"/>
        <v>HuongNTC2_ChiLTQ6_TamPM_VanTTN2_LamNN15</v>
      </c>
      <c r="K11" s="56">
        <f>COUNTIF(defense2_forgroup_code,D11)</f>
        <v>2</v>
      </c>
      <c r="L11" s="97" cm="1">
        <f t="array" aca="1" ref="L11" ca="1">SUMPRODUCT(CODE(MID(E11,ROW(INDIRECT("1:"&amp;LEN(E11))),1))+113)*$C11</f>
        <v>5427</v>
      </c>
      <c r="M11" s="97" cm="1">
        <f t="array" aca="1" ref="M11" ca="1">SUMPRODUCT(CODE(MID(F11,ROW(INDIRECT("1:"&amp;LEN(F11))),1))+113)*$C11</f>
        <v>4086</v>
      </c>
      <c r="N11" s="97" cm="1">
        <f t="array" aca="1" ref="N11" ca="1">SUMPRODUCT(CODE(MID(G11,ROW(INDIRECT("1:"&amp;LEN(G11))),1))+113)*$C11</f>
        <v>3036</v>
      </c>
      <c r="O11" s="97" cm="1">
        <f t="array" aca="1" ref="O11" ca="1">SUMPRODUCT(CODE(MID(H11,ROW(INDIRECT("1:"&amp;LEN(H11))),1))+113)*$C11</f>
        <v>4140</v>
      </c>
      <c r="P11" s="97" cm="1">
        <f t="array" aca="1" ref="P11" ca="1">SUMPRODUCT(CODE(MID(I11,ROW(INDIRECT("1:"&amp;LEN(I11))),1))+113)*$C11</f>
        <v>3993</v>
      </c>
    </row>
    <row r="12" spans="1:16" x14ac:dyDescent="0.35">
      <c r="A12" s="56">
        <v>10</v>
      </c>
      <c r="B12" s="95">
        <f t="shared" si="0"/>
        <v>46182</v>
      </c>
      <c r="C12" s="56">
        <v>3</v>
      </c>
      <c r="D12" s="99">
        <v>302</v>
      </c>
      <c r="E12" s="125" t="s">
        <v>12</v>
      </c>
      <c r="F12" s="125" t="s">
        <v>71</v>
      </c>
      <c r="G12" s="125" t="s">
        <v>86</v>
      </c>
      <c r="H12" s="125" t="s">
        <v>17</v>
      </c>
      <c r="I12" s="125" t="s">
        <v>22</v>
      </c>
      <c r="J12" s="56" t="str">
        <f t="shared" si="1"/>
        <v>TaiNT51_QuynhTNN4_AnNDH2_MinhTTH5_TruongLV11</v>
      </c>
      <c r="K12" s="56">
        <f>COUNTIF(defense2_forgroup_code,D12)</f>
        <v>2</v>
      </c>
      <c r="L12" s="97" cm="1">
        <f t="array" aca="1" ref="L12" ca="1">SUMPRODUCT(CODE(MID(E12,ROW(INDIRECT("1:"&amp;LEN(E12))),1))+113)*$C12</f>
        <v>4023</v>
      </c>
      <c r="M12" s="97" cm="1">
        <f t="array" aca="1" ref="M12" ca="1">SUMPRODUCT(CODE(MID(F12,ROW(INDIRECT("1:"&amp;LEN(F12))),1))+113)*$C12</f>
        <v>5526</v>
      </c>
      <c r="N12" s="97" cm="1">
        <f t="array" aca="1" ref="N12" ca="1">SUMPRODUCT(CODE(MID(G12,ROW(INDIRECT("1:"&amp;LEN(G12))),1))+113)*$C12</f>
        <v>3363</v>
      </c>
      <c r="O12" s="97" cm="1">
        <f t="array" aca="1" ref="O12" ca="1">SUMPRODUCT(CODE(MID(H12,ROW(INDIRECT("1:"&amp;LEN(H12))),1))+113)*$C12</f>
        <v>4779</v>
      </c>
      <c r="P12" s="97" cm="1">
        <f t="array" aca="1" ref="P12" ca="1">SUMPRODUCT(CODE(MID(I12,ROW(INDIRECT("1:"&amp;LEN(I12))),1))+113)*$C12</f>
        <v>6087</v>
      </c>
    </row>
    <row r="13" spans="1:16" x14ac:dyDescent="0.35">
      <c r="A13" s="56">
        <v>11</v>
      </c>
      <c r="B13" s="95">
        <f t="shared" si="0"/>
        <v>46182</v>
      </c>
      <c r="C13" s="56">
        <v>3</v>
      </c>
      <c r="D13" s="99">
        <v>303</v>
      </c>
      <c r="E13" s="125" t="s">
        <v>21</v>
      </c>
      <c r="F13" s="126" t="s">
        <v>28</v>
      </c>
      <c r="G13" s="125" t="s">
        <v>27</v>
      </c>
      <c r="H13" s="126" t="s">
        <v>18</v>
      </c>
      <c r="I13" s="126" t="s">
        <v>32</v>
      </c>
      <c r="J13" s="56" t="str">
        <f t="shared" si="1"/>
        <v>DucDNM2_NgocTTM4_HoangNT20_TriPT9_LongT5</v>
      </c>
      <c r="K13" s="56">
        <f>COUNTIF(defense2_forgroup_code,D13)</f>
        <v>2</v>
      </c>
      <c r="L13" s="97" cm="1">
        <f t="array" aca="1" ref="L13" ca="1">SUMPRODUCT(CODE(MID(E13,ROW(INDIRECT("1:"&amp;LEN(E13))),1))+113)*$C13</f>
        <v>4044</v>
      </c>
      <c r="M13" s="97" cm="1">
        <f t="array" aca="1" ref="M13" ca="1">SUMPRODUCT(CODE(MID(F13,ROW(INDIRECT("1:"&amp;LEN(F13))),1))+113)*$C13</f>
        <v>4776</v>
      </c>
      <c r="N13" s="97" cm="1">
        <f t="array" aca="1" ref="N13" ca="1">SUMPRODUCT(CODE(MID(G13,ROW(INDIRECT("1:"&amp;LEN(G13))),1))+113)*$C13</f>
        <v>5310</v>
      </c>
      <c r="O13" s="97" cm="1">
        <f t="array" aca="1" ref="O13" ca="1">SUMPRODUCT(CODE(MID(H13,ROW(INDIRECT("1:"&amp;LEN(H13))),1))+113)*$C13</f>
        <v>3606</v>
      </c>
      <c r="P13" s="97" cm="1">
        <f t="array" aca="1" ref="P13" ca="1">SUMPRODUCT(CODE(MID(I13,ROW(INDIRECT("1:"&amp;LEN(I13))),1))+113)*$C13</f>
        <v>3645</v>
      </c>
    </row>
    <row r="14" spans="1:16" x14ac:dyDescent="0.35">
      <c r="A14" s="56">
        <v>12</v>
      </c>
      <c r="B14" s="95">
        <f t="shared" si="0"/>
        <v>46182</v>
      </c>
      <c r="C14" s="56">
        <v>3</v>
      </c>
      <c r="D14" s="99">
        <v>304</v>
      </c>
      <c r="E14" s="125" t="s">
        <v>14</v>
      </c>
      <c r="F14" s="125" t="s">
        <v>16</v>
      </c>
      <c r="G14" s="125" t="s">
        <v>24</v>
      </c>
      <c r="H14" s="126" t="s">
        <v>25</v>
      </c>
      <c r="I14" s="125" t="s">
        <v>13</v>
      </c>
      <c r="J14" s="56" t="str">
        <f t="shared" si="1"/>
        <v>PhuongLHK_PhucNT40_SangNM18_VuLNS_NhanDT35</v>
      </c>
      <c r="K14" s="56">
        <f>COUNTIF(defense2_forgroup_code,D14)</f>
        <v>2</v>
      </c>
      <c r="L14" s="97" cm="1">
        <f t="array" aca="1" ref="L14" ca="1">SUMPRODUCT(CODE(MID(E14,ROW(INDIRECT("1:"&amp;LEN(E14))),1))+113)*$C14</f>
        <v>5595</v>
      </c>
      <c r="M14" s="97" cm="1">
        <f t="array" aca="1" ref="M14" ca="1">SUMPRODUCT(CODE(MID(F14,ROW(INDIRECT("1:"&amp;LEN(F14))),1))+113)*$C14</f>
        <v>4698</v>
      </c>
      <c r="N14" s="97" cm="1">
        <f t="array" aca="1" ref="N14" ca="1">SUMPRODUCT(CODE(MID(G14,ROW(INDIRECT("1:"&amp;LEN(G14))),1))+113)*$C14</f>
        <v>4671</v>
      </c>
      <c r="O14" s="97" cm="1">
        <f t="array" aca="1" ref="O14" ca="1">SUMPRODUCT(CODE(MID(H14,ROW(INDIRECT("1:"&amp;LEN(H14))),1))+113)*$C14</f>
        <v>3015</v>
      </c>
      <c r="P14" s="97" cm="1">
        <f t="array" aca="1" ref="P14" ca="1">SUMPRODUCT(CODE(MID(I14,ROW(INDIRECT("1:"&amp;LEN(I14))),1))+113)*$C14</f>
        <v>4647</v>
      </c>
    </row>
    <row r="15" spans="1:16" x14ac:dyDescent="0.35">
      <c r="A15" s="56">
        <v>13</v>
      </c>
      <c r="B15" s="95">
        <f t="shared" si="0"/>
        <v>46183</v>
      </c>
      <c r="C15" s="56">
        <v>4</v>
      </c>
      <c r="D15" s="99">
        <v>401</v>
      </c>
      <c r="E15" s="125" t="s">
        <v>23</v>
      </c>
      <c r="F15" s="125" t="s">
        <v>20</v>
      </c>
      <c r="G15" s="126" t="s">
        <v>26</v>
      </c>
      <c r="H15" s="125" t="s">
        <v>76</v>
      </c>
      <c r="I15" s="126" t="s">
        <v>67</v>
      </c>
      <c r="J15" s="56" t="str">
        <f t="shared" si="1"/>
        <v>HuongNTC2_VanTTN2_LamNN15_NguyenTT15_ThinhDP2</v>
      </c>
      <c r="K15" s="56">
        <f>COUNTIF(defense2_forgroup_code,D15)</f>
        <v>2</v>
      </c>
      <c r="L15" s="97" cm="1">
        <f t="array" aca="1" ref="L15" ca="1">SUMPRODUCT(CODE(MID(E15,ROW(INDIRECT("1:"&amp;LEN(E15))),1))+113)*$C15</f>
        <v>7236</v>
      </c>
      <c r="M15" s="97" cm="1">
        <f t="array" aca="1" ref="M15" ca="1">SUMPRODUCT(CODE(MID(F15,ROW(INDIRECT("1:"&amp;LEN(F15))),1))+113)*$C15</f>
        <v>5520</v>
      </c>
      <c r="N15" s="97" cm="1">
        <f t="array" aca="1" ref="N15" ca="1">SUMPRODUCT(CODE(MID(G15,ROW(INDIRECT("1:"&amp;LEN(G15))),1))+113)*$C15</f>
        <v>5324</v>
      </c>
      <c r="O15" s="97" cm="1">
        <f t="array" aca="1" ref="O15" ca="1">SUMPRODUCT(CODE(MID(H15,ROW(INDIRECT("1:"&amp;LEN(H15))),1))+113)*$C15</f>
        <v>8120</v>
      </c>
      <c r="P15" s="97" cm="1">
        <f t="array" aca="1" ref="P15" ca="1">SUMPRODUCT(CODE(MID(I15,ROW(INDIRECT("1:"&amp;LEN(I15))),1))+113)*$C15</f>
        <v>6436</v>
      </c>
    </row>
    <row r="16" spans="1:16" x14ac:dyDescent="0.35">
      <c r="A16" s="56">
        <v>14</v>
      </c>
      <c r="B16" s="95">
        <f t="shared" si="0"/>
        <v>46183</v>
      </c>
      <c r="C16" s="98">
        <v>4</v>
      </c>
      <c r="D16" s="100">
        <v>402</v>
      </c>
      <c r="E16" s="125" t="s">
        <v>12</v>
      </c>
      <c r="F16" s="125" t="s">
        <v>29</v>
      </c>
      <c r="G16" s="126" t="s">
        <v>18</v>
      </c>
      <c r="H16" s="125" t="s">
        <v>17</v>
      </c>
      <c r="I16" s="125" t="s">
        <v>22</v>
      </c>
      <c r="J16" s="56" t="str">
        <f t="shared" si="1"/>
        <v>TaiNT51_ThongNT_TriPT9_MinhTTH5_TruongLV11</v>
      </c>
      <c r="K16" s="56">
        <f>COUNTIF(defense2_forgroup_code,D16)</f>
        <v>2</v>
      </c>
      <c r="L16" s="97" cm="1">
        <f t="array" aca="1" ref="L16" ca="1">SUMPRODUCT(CODE(MID(E16,ROW(INDIRECT("1:"&amp;LEN(E16))),1))+113)*$C16</f>
        <v>5364</v>
      </c>
      <c r="M16" s="97" cm="1">
        <f t="array" aca="1" ref="M16" ca="1">SUMPRODUCT(CODE(MID(F16,ROW(INDIRECT("1:"&amp;LEN(F16))),1))+113)*$C16</f>
        <v>5860</v>
      </c>
      <c r="N16" s="97" cm="1">
        <f t="array" aca="1" ref="N16" ca="1">SUMPRODUCT(CODE(MID(G16,ROW(INDIRECT("1:"&amp;LEN(G16))),1))+113)*$C16</f>
        <v>4808</v>
      </c>
      <c r="O16" s="97" cm="1">
        <f t="array" aca="1" ref="O16" ca="1">SUMPRODUCT(CODE(MID(H16,ROW(INDIRECT("1:"&amp;LEN(H16))),1))+113)*$C16</f>
        <v>6372</v>
      </c>
      <c r="P16" s="97" cm="1">
        <f t="array" aca="1" ref="P16" ca="1">SUMPRODUCT(CODE(MID(I16,ROW(INDIRECT("1:"&amp;LEN(I16))),1))+113)*$C16</f>
        <v>8116</v>
      </c>
    </row>
    <row r="17" spans="1:16" x14ac:dyDescent="0.35">
      <c r="A17" s="56">
        <v>15</v>
      </c>
      <c r="B17" s="95">
        <f t="shared" si="0"/>
        <v>46183</v>
      </c>
      <c r="C17" s="98">
        <v>4</v>
      </c>
      <c r="D17" s="100">
        <v>403</v>
      </c>
      <c r="E17" s="125" t="s">
        <v>21</v>
      </c>
      <c r="F17" s="125" t="s">
        <v>16</v>
      </c>
      <c r="G17" s="125" t="s">
        <v>27</v>
      </c>
      <c r="H17" s="126" t="s">
        <v>32</v>
      </c>
      <c r="I17" s="126" t="s">
        <v>15</v>
      </c>
      <c r="J17" s="56" t="str">
        <f t="shared" si="1"/>
        <v>DucDNM2_PhucNT40_HoangNT20_LongT5_ChiLTQ6</v>
      </c>
      <c r="K17" s="56">
        <f>COUNTIF(defense2_forgroup_code,D17)</f>
        <v>2</v>
      </c>
      <c r="L17" s="97" cm="1">
        <f t="array" aca="1" ref="L17" ca="1">SUMPRODUCT(CODE(MID(E17,ROW(INDIRECT("1:"&amp;LEN(E17))),1))+113)*$C17</f>
        <v>5392</v>
      </c>
      <c r="M17" s="97" cm="1">
        <f t="array" aca="1" ref="M17" ca="1">SUMPRODUCT(CODE(MID(F17,ROW(INDIRECT("1:"&amp;LEN(F17))),1))+113)*$C17</f>
        <v>6264</v>
      </c>
      <c r="N17" s="97" cm="1">
        <f t="array" aca="1" ref="N17" ca="1">SUMPRODUCT(CODE(MID(G17,ROW(INDIRECT("1:"&amp;LEN(G17))),1))+113)*$C17</f>
        <v>7080</v>
      </c>
      <c r="O17" s="97" cm="1">
        <f t="array" aca="1" ref="O17" ca="1">SUMPRODUCT(CODE(MID(H17,ROW(INDIRECT("1:"&amp;LEN(H17))),1))+113)*$C17</f>
        <v>4860</v>
      </c>
      <c r="P17" s="97" cm="1">
        <f t="array" aca="1" ref="P17" ca="1">SUMPRODUCT(CODE(MID(I17,ROW(INDIRECT("1:"&amp;LEN(I17))),1))+113)*$C17</f>
        <v>5448</v>
      </c>
    </row>
    <row r="18" spans="1:16" x14ac:dyDescent="0.35">
      <c r="A18" s="56">
        <v>16</v>
      </c>
      <c r="B18" s="95">
        <f t="shared" si="0"/>
        <v>46183</v>
      </c>
      <c r="C18" s="98">
        <v>4</v>
      </c>
      <c r="D18" s="100">
        <v>404</v>
      </c>
      <c r="E18" s="125" t="s">
        <v>14</v>
      </c>
      <c r="F18" s="126" t="s">
        <v>638</v>
      </c>
      <c r="G18" s="126" t="s">
        <v>13</v>
      </c>
      <c r="H18" s="126" t="s">
        <v>24</v>
      </c>
      <c r="I18" s="126" t="s">
        <v>19</v>
      </c>
      <c r="J18" s="56" t="str">
        <f t="shared" si="1"/>
        <v>PhuongLHK_HungLD5_NhanDT35_SangNM18_TamPM</v>
      </c>
      <c r="K18" s="56">
        <f>COUNTIF(defense2_forgroup_code,D18)</f>
        <v>2</v>
      </c>
      <c r="L18" s="97" cm="1">
        <f t="array" aca="1" ref="L18" ca="1">SUMPRODUCT(CODE(MID(E18,ROW(INDIRECT("1:"&amp;LEN(E18))),1))+113)*$C18</f>
        <v>7460</v>
      </c>
      <c r="M18" s="97" cm="1">
        <f t="array" aca="1" ref="M18" ca="1">SUMPRODUCT(CODE(MID(F18,ROW(INDIRECT("1:"&amp;LEN(F18))),1))+113)*$C18</f>
        <v>5560</v>
      </c>
      <c r="N18" s="97" cm="1">
        <f t="array" aca="1" ref="N18" ca="1">SUMPRODUCT(CODE(MID(G18,ROW(INDIRECT("1:"&amp;LEN(G18))),1))+113)*$C18</f>
        <v>6196</v>
      </c>
      <c r="O18" s="97" cm="1">
        <f t="array" aca="1" ref="O18" ca="1">SUMPRODUCT(CODE(MID(H18,ROW(INDIRECT("1:"&amp;LEN(H18))),1))+113)*$C18</f>
        <v>6228</v>
      </c>
      <c r="P18" s="97" cm="1">
        <f t="array" aca="1" ref="P18" ca="1">SUMPRODUCT(CODE(MID(I18,ROW(INDIRECT("1:"&amp;LEN(I18))),1))+113)*$C18</f>
        <v>4048</v>
      </c>
    </row>
    <row r="19" spans="1:16" x14ac:dyDescent="0.35">
      <c r="A19" s="56">
        <v>17</v>
      </c>
      <c r="B19" s="95">
        <f t="shared" si="0"/>
        <v>46184</v>
      </c>
      <c r="C19" s="98">
        <v>5</v>
      </c>
      <c r="D19" s="99">
        <v>501</v>
      </c>
      <c r="E19" s="125"/>
      <c r="F19" s="125"/>
      <c r="G19" s="125"/>
      <c r="H19" s="125"/>
      <c r="I19" s="125"/>
      <c r="J19" s="56" t="str">
        <f t="shared" si="1"/>
        <v>____</v>
      </c>
      <c r="K19" s="56">
        <f>COUNTIF(defense2_forgroup_code,D19)</f>
        <v>0</v>
      </c>
      <c r="L19" s="97" t="e" cm="1">
        <f t="array" aca="1" ref="L19" ca="1">SUMPRODUCT(CODE(MID(E19,ROW(INDIRECT("1:"&amp;LEN(E19))),1))+113)*$C19</f>
        <v>#REF!</v>
      </c>
      <c r="M19" s="97" t="e" cm="1">
        <f t="array" aca="1" ref="M19" ca="1">SUMPRODUCT(CODE(MID(F19,ROW(INDIRECT("1:"&amp;LEN(F19))),1))+113)*$C19</f>
        <v>#REF!</v>
      </c>
      <c r="N19" s="97" t="e" cm="1">
        <f t="array" aca="1" ref="N19" ca="1">SUMPRODUCT(CODE(MID(G19,ROW(INDIRECT("1:"&amp;LEN(G19))),1))+113)*$C19</f>
        <v>#REF!</v>
      </c>
      <c r="O19" s="97" t="e" cm="1">
        <f t="array" aca="1" ref="O19" ca="1">SUMPRODUCT(CODE(MID(H19,ROW(INDIRECT("1:"&amp;LEN(H19))),1))+113)*$C19</f>
        <v>#REF!</v>
      </c>
      <c r="P19" s="97" t="e" cm="1">
        <f t="array" aca="1" ref="P19" ca="1">SUMPRODUCT(CODE(MID(I19,ROW(INDIRECT("1:"&amp;LEN(I19))),1))+113)*$C19</f>
        <v>#REF!</v>
      </c>
    </row>
    <row r="20" spans="1:16" x14ac:dyDescent="0.35">
      <c r="A20" s="56">
        <v>18</v>
      </c>
      <c r="B20" s="95">
        <f t="shared" si="0"/>
        <v>46184</v>
      </c>
      <c r="C20" s="98">
        <v>5</v>
      </c>
      <c r="D20" s="100">
        <v>502</v>
      </c>
      <c r="E20" s="125"/>
      <c r="F20" s="125"/>
      <c r="G20" s="125"/>
      <c r="H20" s="125"/>
      <c r="I20" s="125"/>
      <c r="J20" s="56" t="str">
        <f t="shared" si="1"/>
        <v>____</v>
      </c>
      <c r="K20" s="56">
        <f>COUNTIF(defense2_forgroup_code,D20)</f>
        <v>0</v>
      </c>
      <c r="L20" s="97" t="e" cm="1">
        <f t="array" aca="1" ref="L20" ca="1">SUMPRODUCT(CODE(MID(E20,ROW(INDIRECT("1:"&amp;LEN(E20))),1))+113)*$C20</f>
        <v>#REF!</v>
      </c>
      <c r="M20" s="97" t="e" cm="1">
        <f t="array" aca="1" ref="M20" ca="1">SUMPRODUCT(CODE(MID(F20,ROW(INDIRECT("1:"&amp;LEN(F20))),1))+113)*$C20</f>
        <v>#REF!</v>
      </c>
      <c r="N20" s="97" t="e" cm="1">
        <f t="array" aca="1" ref="N20" ca="1">SUMPRODUCT(CODE(MID(G20,ROW(INDIRECT("1:"&amp;LEN(G20))),1))+113)*$C20</f>
        <v>#REF!</v>
      </c>
      <c r="O20" s="97" t="e" cm="1">
        <f t="array" aca="1" ref="O20" ca="1">SUMPRODUCT(CODE(MID(H20,ROW(INDIRECT("1:"&amp;LEN(H20))),1))+113)*$C20</f>
        <v>#REF!</v>
      </c>
      <c r="P20" s="97" t="e" cm="1">
        <f t="array" aca="1" ref="P20" ca="1">SUMPRODUCT(CODE(MID(I20,ROW(INDIRECT("1:"&amp;LEN(I20))),1))+113)*$C20</f>
        <v>#REF!</v>
      </c>
    </row>
    <row r="21" spans="1:16" x14ac:dyDescent="0.35">
      <c r="A21" s="56">
        <v>19</v>
      </c>
      <c r="B21" s="95">
        <f t="shared" si="0"/>
        <v>46184</v>
      </c>
      <c r="C21" s="56">
        <v>5</v>
      </c>
      <c r="D21" s="99">
        <v>503</v>
      </c>
      <c r="E21" s="125"/>
      <c r="F21" s="125"/>
      <c r="G21" s="125"/>
      <c r="H21" s="125"/>
      <c r="I21" s="125"/>
      <c r="J21" s="56" t="str">
        <f t="shared" si="1"/>
        <v>____</v>
      </c>
      <c r="K21" s="56">
        <f>COUNTIF(defense2_forgroup_code,D21)</f>
        <v>0</v>
      </c>
      <c r="L21" s="97" t="e" cm="1">
        <f t="array" aca="1" ref="L21" ca="1">SUMPRODUCT(CODE(MID(E21,ROW(INDIRECT("1:"&amp;LEN(E21))),1))+113)*$C21</f>
        <v>#REF!</v>
      </c>
      <c r="M21" s="97" t="e" cm="1">
        <f t="array" aca="1" ref="M21" ca="1">SUMPRODUCT(CODE(MID(F21,ROW(INDIRECT("1:"&amp;LEN(F21))),1))+113)*$C21</f>
        <v>#REF!</v>
      </c>
      <c r="N21" s="97" t="e" cm="1">
        <f t="array" aca="1" ref="N21" ca="1">SUMPRODUCT(CODE(MID(G21,ROW(INDIRECT("1:"&amp;LEN(G21))),1))+113)*$C21</f>
        <v>#REF!</v>
      </c>
      <c r="O21" s="97" t="e" cm="1">
        <f t="array" aca="1" ref="O21" ca="1">SUMPRODUCT(CODE(MID(H21,ROW(INDIRECT("1:"&amp;LEN(H21))),1))+113)*$C21</f>
        <v>#REF!</v>
      </c>
      <c r="P21" s="97" t="e" cm="1">
        <f t="array" aca="1" ref="P21" ca="1">SUMPRODUCT(CODE(MID(I21,ROW(INDIRECT("1:"&amp;LEN(I21))),1))+113)*$C21</f>
        <v>#REF!</v>
      </c>
    </row>
    <row r="22" spans="1:16" x14ac:dyDescent="0.35">
      <c r="A22" s="56">
        <v>20</v>
      </c>
      <c r="B22" s="95">
        <f t="shared" si="0"/>
        <v>46184</v>
      </c>
      <c r="C22" s="56">
        <v>5</v>
      </c>
      <c r="D22" s="100">
        <v>504</v>
      </c>
      <c r="E22" s="96"/>
      <c r="F22" s="96"/>
      <c r="G22" s="96"/>
      <c r="H22" s="96"/>
      <c r="I22" s="96"/>
      <c r="J22" s="56" t="str">
        <f t="shared" si="1"/>
        <v>____</v>
      </c>
      <c r="K22" s="56">
        <f>COUNTIF(defense2_forgroup_code,D22)</f>
        <v>0</v>
      </c>
      <c r="L22" s="97" t="e" cm="1">
        <f t="array" aca="1" ref="L22" ca="1">SUMPRODUCT(CODE(MID(E22,ROW(INDIRECT("1:"&amp;LEN(E22))),1))+113)*$C22</f>
        <v>#REF!</v>
      </c>
      <c r="M22" s="97" t="e" cm="1">
        <f t="array" aca="1" ref="M22" ca="1">SUMPRODUCT(CODE(MID(F22,ROW(INDIRECT("1:"&amp;LEN(F22))),1))+113)*$C22</f>
        <v>#REF!</v>
      </c>
      <c r="N22" s="97" t="e" cm="1">
        <f t="array" aca="1" ref="N22" ca="1">SUMPRODUCT(CODE(MID(G22,ROW(INDIRECT("1:"&amp;LEN(G22))),1))+113)*$C22</f>
        <v>#REF!</v>
      </c>
      <c r="O22" s="97" t="e" cm="1">
        <f t="array" aca="1" ref="O22" ca="1">SUMPRODUCT(CODE(MID(H22,ROW(INDIRECT("1:"&amp;LEN(H22))),1))+113)*$C22</f>
        <v>#REF!</v>
      </c>
      <c r="P22" s="97" t="e" cm="1">
        <f t="array" aca="1" ref="P22" ca="1">SUMPRODUCT(CODE(MID(I22,ROW(INDIRECT("1:"&amp;LEN(I22))),1))+113)*$C22</f>
        <v>#REF!</v>
      </c>
    </row>
  </sheetData>
  <conditionalFormatting sqref="D11:D15">
    <cfRule type="duplicateValues" dxfId="110" priority="16"/>
  </conditionalFormatting>
  <conditionalFormatting sqref="D19 D21">
    <cfRule type="duplicateValues" dxfId="109" priority="15"/>
  </conditionalFormatting>
  <conditionalFormatting sqref="E3:I4 E6:I6">
    <cfRule type="duplicateValues" dxfId="108" priority="12"/>
  </conditionalFormatting>
  <conditionalFormatting sqref="E7:I7">
    <cfRule type="duplicateValues" dxfId="107" priority="6"/>
  </conditionalFormatting>
  <conditionalFormatting sqref="E9:I10">
    <cfRule type="duplicateValues" dxfId="96" priority="11"/>
  </conditionalFormatting>
  <conditionalFormatting sqref="E11:I11 E13:I14">
    <cfRule type="duplicateValues" dxfId="106" priority="10"/>
  </conditionalFormatting>
  <conditionalFormatting sqref="E12:I12">
    <cfRule type="duplicateValues" dxfId="105" priority="5"/>
  </conditionalFormatting>
  <conditionalFormatting sqref="E15:I15">
    <cfRule type="duplicateValues" dxfId="104" priority="3"/>
    <cfRule type="duplicateValues" dxfId="103" priority="4"/>
  </conditionalFormatting>
  <conditionalFormatting sqref="E16:I18">
    <cfRule type="duplicateValues" dxfId="102" priority="7"/>
  </conditionalFormatting>
  <conditionalFormatting sqref="E18:I18 E17 G17:I17 E16:I16">
    <cfRule type="duplicateValues" dxfId="101" priority="9"/>
  </conditionalFormatting>
  <conditionalFormatting sqref="E19:I22">
    <cfRule type="duplicateValues" dxfId="100" priority="14"/>
  </conditionalFormatting>
  <conditionalFormatting sqref="F17">
    <cfRule type="duplicateValues" dxfId="99" priority="8"/>
  </conditionalFormatting>
  <conditionalFormatting sqref="L3:P22">
    <cfRule type="duplicateValues" dxfId="98" priority="13"/>
  </conditionalFormatting>
  <conditionalFormatting sqref="E5:I5">
    <cfRule type="duplicateValues" dxfId="97" priority="2"/>
  </conditionalFormatting>
  <conditionalFormatting sqref="E8:I8">
    <cfRule type="duplicateValues" dxfId="9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0E2F-3591-42E6-A6AA-7EBF3E02F3F2}">
  <dimension ref="A1:J995"/>
  <sheetViews>
    <sheetView topLeftCell="B16" workbookViewId="0">
      <selection activeCell="K23" sqref="K23"/>
    </sheetView>
  </sheetViews>
  <sheetFormatPr defaultRowHeight="14.5" x14ac:dyDescent="0.35"/>
  <cols>
    <col min="2" max="2" width="18.54296875" customWidth="1"/>
    <col min="9" max="9" width="9.54296875" style="14" customWidth="1"/>
  </cols>
  <sheetData>
    <row r="1" spans="1:10" x14ac:dyDescent="0.35">
      <c r="A1" s="59" t="s">
        <v>35</v>
      </c>
      <c r="B1" s="59" t="s">
        <v>633</v>
      </c>
      <c r="C1" s="59" t="s">
        <v>634</v>
      </c>
      <c r="D1" s="59"/>
      <c r="E1" s="60" t="s">
        <v>0</v>
      </c>
      <c r="F1" s="81" t="s">
        <v>669</v>
      </c>
      <c r="G1" s="81" t="s">
        <v>670</v>
      </c>
      <c r="H1" s="81" t="s">
        <v>691</v>
      </c>
      <c r="I1" s="102" t="s">
        <v>691</v>
      </c>
      <c r="J1" s="102"/>
    </row>
    <row r="2" spans="1:10" x14ac:dyDescent="0.35">
      <c r="A2" s="61">
        <v>1</v>
      </c>
      <c r="B2" s="61" t="s">
        <v>23</v>
      </c>
      <c r="C2" s="61" t="s">
        <v>636</v>
      </c>
      <c r="D2" s="61" cm="1">
        <f t="array" aca="1" ref="D2" ca="1">SUMPRODUCT(CODE(MID(B2,ROW(INDIRECT("1:"&amp;LEN(B2))),1)))+113</f>
        <v>905</v>
      </c>
      <c r="E2" s="62">
        <f>COUNTIF(review1_table,B2)</f>
        <v>7</v>
      </c>
      <c r="F2">
        <f>COUNTIF(review2_table,B2)</f>
        <v>7</v>
      </c>
      <c r="G2">
        <f>COUNTIF(review3_table,B2)</f>
        <v>12</v>
      </c>
      <c r="I2" s="6">
        <f>COUNTIF(defense1_list,B2)</f>
        <v>4</v>
      </c>
      <c r="J2">
        <f>COUNTIF(defense2_list,B2)</f>
        <v>4</v>
      </c>
    </row>
    <row r="3" spans="1:10" x14ac:dyDescent="0.35">
      <c r="A3" s="61">
        <v>3</v>
      </c>
      <c r="B3" s="61" t="s">
        <v>13</v>
      </c>
      <c r="C3" s="61" t="s">
        <v>636</v>
      </c>
      <c r="D3" s="61" cm="1">
        <f t="array" aca="1" ref="D3" ca="1">SUMPRODUCT(CODE(MID(B3,ROW(INDIRECT("1:"&amp;LEN(B3))),1)))+113</f>
        <v>758</v>
      </c>
      <c r="E3" s="62">
        <f>COUNTIF(review1_table,B3)</f>
        <v>9</v>
      </c>
      <c r="F3">
        <f>COUNTIF(review2_table,B3)</f>
        <v>9</v>
      </c>
      <c r="G3">
        <f>COUNTIF(review3_table,B3)</f>
        <v>7</v>
      </c>
      <c r="I3" s="6">
        <f>COUNTIF(defense1_list,B3)</f>
        <v>4</v>
      </c>
      <c r="J3">
        <f>COUNTIF(defense2_list,B3)</f>
        <v>4</v>
      </c>
    </row>
    <row r="4" spans="1:10" x14ac:dyDescent="0.35">
      <c r="A4" s="61">
        <v>4</v>
      </c>
      <c r="B4" s="61" t="s">
        <v>14</v>
      </c>
      <c r="C4" s="61" t="s">
        <v>636</v>
      </c>
      <c r="D4" s="61" cm="1">
        <f t="array" aca="1" ref="D4" ca="1">SUMPRODUCT(CODE(MID(B4,ROW(INDIRECT("1:"&amp;LEN(B4))),1)))+113</f>
        <v>961</v>
      </c>
      <c r="E4" s="62">
        <f>COUNTIF(review1_table,B4)</f>
        <v>10</v>
      </c>
      <c r="F4">
        <f>COUNTIF(review2_table,B4)</f>
        <v>10</v>
      </c>
      <c r="G4">
        <f>COUNTIF(review3_table,B4)</f>
        <v>12</v>
      </c>
      <c r="I4" s="6">
        <f>COUNTIF(defense1_list,B4)</f>
        <v>4</v>
      </c>
      <c r="J4">
        <f>COUNTIF(defense2_list,B4)</f>
        <v>4</v>
      </c>
    </row>
    <row r="5" spans="1:10" x14ac:dyDescent="0.35">
      <c r="A5" s="61">
        <v>5</v>
      </c>
      <c r="B5" s="61" t="s">
        <v>21</v>
      </c>
      <c r="C5" s="61" t="s">
        <v>637</v>
      </c>
      <c r="D5" s="61" cm="1">
        <f t="array" aca="1" ref="D5" ca="1">SUMPRODUCT(CODE(MID(B5,ROW(INDIRECT("1:"&amp;LEN(B5))),1)))+113</f>
        <v>670</v>
      </c>
      <c r="E5" s="62">
        <f>COUNTIF(review1_table,B5)</f>
        <v>4</v>
      </c>
      <c r="F5">
        <f>COUNTIF(review2_table,B5)</f>
        <v>4</v>
      </c>
      <c r="G5">
        <f>COUNTIF(review3_table,B5)</f>
        <v>8</v>
      </c>
      <c r="I5" s="6">
        <f>COUNTIF(defense1_list,B5)</f>
        <v>4</v>
      </c>
      <c r="J5">
        <f>COUNTIF(defense2_list,B5)</f>
        <v>4</v>
      </c>
    </row>
    <row r="6" spans="1:10" x14ac:dyDescent="0.35">
      <c r="A6" s="61">
        <v>6</v>
      </c>
      <c r="B6" s="61" t="s">
        <v>18</v>
      </c>
      <c r="C6" s="61" t="s">
        <v>636</v>
      </c>
      <c r="D6" s="61" cm="1">
        <f t="array" aca="1" ref="D6" ca="1">SUMPRODUCT(CODE(MID(B6,ROW(INDIRECT("1:"&amp;LEN(B6))),1)))+113</f>
        <v>637</v>
      </c>
      <c r="E6" s="62">
        <f>COUNTIF(review1_table,B6)</f>
        <v>7</v>
      </c>
      <c r="F6">
        <f>COUNTIF(review2_table,B6)</f>
        <v>7</v>
      </c>
      <c r="G6">
        <f>COUNTIF(review3_table,B6)</f>
        <v>4</v>
      </c>
      <c r="I6" s="6">
        <f>COUNTIF(defense1_list,B6)</f>
        <v>4</v>
      </c>
      <c r="J6">
        <f>COUNTIF(defense2_list,B6)</f>
        <v>4</v>
      </c>
    </row>
    <row r="7" spans="1:10" x14ac:dyDescent="0.35">
      <c r="A7" s="61">
        <v>7</v>
      </c>
      <c r="B7" s="61" t="s">
        <v>19</v>
      </c>
      <c r="C7" s="61" t="s">
        <v>636</v>
      </c>
      <c r="D7" s="61" cm="1">
        <f t="array" aca="1" ref="D7" ca="1">SUMPRODUCT(CODE(MID(B7,ROW(INDIRECT("1:"&amp;LEN(B7))),1)))+113</f>
        <v>560</v>
      </c>
      <c r="E7" s="62">
        <f>COUNTIF(review1_table,B7)</f>
        <v>4</v>
      </c>
      <c r="F7">
        <f>COUNTIF(review2_table,B7)</f>
        <v>4</v>
      </c>
      <c r="G7">
        <f>COUNTIF(review3_table,B7)</f>
        <v>5</v>
      </c>
      <c r="I7" s="6">
        <f>COUNTIF(defense1_list,B7)</f>
        <v>3</v>
      </c>
      <c r="J7">
        <f>COUNTIF(defense2_list,B7)</f>
        <v>4</v>
      </c>
    </row>
    <row r="8" spans="1:10" x14ac:dyDescent="0.35">
      <c r="A8" s="61">
        <v>8</v>
      </c>
      <c r="B8" s="61" t="s">
        <v>17</v>
      </c>
      <c r="C8" s="61" t="s">
        <v>636</v>
      </c>
      <c r="D8" s="61" cm="1">
        <f t="array" aca="1" ref="D8" ca="1">SUMPRODUCT(CODE(MID(B8,ROW(INDIRECT("1:"&amp;LEN(B8))),1)))+113</f>
        <v>802</v>
      </c>
      <c r="E8" s="62">
        <f>COUNTIF(review1_table,B8)</f>
        <v>6</v>
      </c>
      <c r="F8">
        <f>COUNTIF(review2_table,B8)</f>
        <v>6</v>
      </c>
      <c r="G8">
        <f>COUNTIF(review3_table,B8)</f>
        <v>3</v>
      </c>
      <c r="I8" s="6">
        <f>COUNTIF(defense1_list,B8)</f>
        <v>3</v>
      </c>
      <c r="J8">
        <f>COUNTIF(defense2_list,B8)</f>
        <v>4</v>
      </c>
    </row>
    <row r="9" spans="1:10" x14ac:dyDescent="0.35">
      <c r="A9" s="61">
        <v>9</v>
      </c>
      <c r="B9" s="61" t="s">
        <v>12</v>
      </c>
      <c r="C9" s="61" t="s">
        <v>635</v>
      </c>
      <c r="D9" s="61" cm="1">
        <f t="array" aca="1" ref="D9" ca="1">SUMPRODUCT(CODE(MID(B9,ROW(INDIRECT("1:"&amp;LEN(B9))),1)))+113</f>
        <v>663</v>
      </c>
      <c r="E9" s="62">
        <f>COUNTIF(review1_table,B9)</f>
        <v>11</v>
      </c>
      <c r="F9">
        <f>COUNTIF(review2_table,B9)</f>
        <v>11</v>
      </c>
      <c r="G9">
        <f>COUNTIF(review3_table,B9)</f>
        <v>9</v>
      </c>
      <c r="I9" s="6">
        <f>COUNTIF(defense1_list,B9)</f>
        <v>2</v>
      </c>
      <c r="J9">
        <f>COUNTIF(defense2_list,B9)</f>
        <v>4</v>
      </c>
    </row>
    <row r="10" spans="1:10" x14ac:dyDescent="0.35">
      <c r="A10" s="61">
        <v>10</v>
      </c>
      <c r="B10" s="61" t="s">
        <v>27</v>
      </c>
      <c r="C10" s="61" t="s">
        <v>636</v>
      </c>
      <c r="D10" s="61" cm="1">
        <f t="array" aca="1" ref="D10" ca="1">SUMPRODUCT(CODE(MID(B10,ROW(INDIRECT("1:"&amp;LEN(B10))),1)))+113</f>
        <v>866</v>
      </c>
      <c r="E10" s="62">
        <f>COUNTIF(review1_table,B10)</f>
        <v>0</v>
      </c>
      <c r="F10">
        <f>COUNTIF(review2_table,B10)</f>
        <v>0</v>
      </c>
      <c r="G10">
        <f>COUNTIF(review3_table,B10)</f>
        <v>5</v>
      </c>
      <c r="I10" s="6">
        <f>COUNTIF(defense1_list,B10)</f>
        <v>3</v>
      </c>
      <c r="J10">
        <f>COUNTIF(defense2_list,B10)</f>
        <v>4</v>
      </c>
    </row>
    <row r="11" spans="1:10" x14ac:dyDescent="0.35">
      <c r="A11" s="61">
        <v>11</v>
      </c>
      <c r="B11" s="61" t="s">
        <v>26</v>
      </c>
      <c r="C11" s="61" t="s">
        <v>636</v>
      </c>
      <c r="D11" s="61" cm="1">
        <f t="array" aca="1" ref="D11" ca="1">SUMPRODUCT(CODE(MID(B11,ROW(INDIRECT("1:"&amp;LEN(B11))),1)))+113</f>
        <v>653</v>
      </c>
      <c r="E11" s="62">
        <f>COUNTIF(review1_table,B11)</f>
        <v>5</v>
      </c>
      <c r="F11">
        <f>COUNTIF(review2_table,B11)</f>
        <v>5</v>
      </c>
      <c r="G11">
        <f>COUNTIF(review3_table,B11)</f>
        <v>5</v>
      </c>
      <c r="I11" s="6">
        <f>COUNTIF(defense1_list,B11)</f>
        <v>3</v>
      </c>
      <c r="J11">
        <f>COUNTIF(defense2_list,B11)</f>
        <v>4</v>
      </c>
    </row>
    <row r="12" spans="1:10" x14ac:dyDescent="0.35">
      <c r="A12" s="61">
        <v>12</v>
      </c>
      <c r="B12" s="61" t="s">
        <v>24</v>
      </c>
      <c r="C12" s="61" t="s">
        <v>636</v>
      </c>
      <c r="D12" s="61" cm="1">
        <f t="array" aca="1" ref="D12" ca="1">SUMPRODUCT(CODE(MID(B12,ROW(INDIRECT("1:"&amp;LEN(B12))),1)))+113</f>
        <v>766</v>
      </c>
      <c r="E12" s="62">
        <f>COUNTIF(review1_table,B12)</f>
        <v>6</v>
      </c>
      <c r="F12">
        <f>COUNTIF(review2_table,B12)</f>
        <v>6</v>
      </c>
      <c r="G12">
        <f>COUNTIF(review3_table,B12)</f>
        <v>5</v>
      </c>
      <c r="I12" s="6">
        <f>COUNTIF(defense1_list,B12)</f>
        <v>3</v>
      </c>
      <c r="J12">
        <f>COUNTIF(defense2_list,B12)</f>
        <v>4</v>
      </c>
    </row>
    <row r="13" spans="1:10" x14ac:dyDescent="0.35">
      <c r="A13" s="61">
        <v>13</v>
      </c>
      <c r="B13" s="61" t="s">
        <v>32</v>
      </c>
      <c r="C13" s="61" t="s">
        <v>636</v>
      </c>
      <c r="D13" s="61" cm="1">
        <f t="array" aca="1" ref="D13" ca="1">SUMPRODUCT(CODE(MID(B13,ROW(INDIRECT("1:"&amp;LEN(B13))),1)))+113</f>
        <v>650</v>
      </c>
      <c r="E13" s="62">
        <f>COUNTIF(review1_table,B13)</f>
        <v>8</v>
      </c>
      <c r="F13">
        <f>COUNTIF(review2_table,B13)</f>
        <v>8</v>
      </c>
      <c r="G13">
        <f>COUNTIF(review3_table,B13)</f>
        <v>0</v>
      </c>
      <c r="I13" s="6">
        <f>COUNTIF(defense1_list,B13)</f>
        <v>2</v>
      </c>
      <c r="J13">
        <f>COUNTIF(defense2_list,B13)</f>
        <v>4</v>
      </c>
    </row>
    <row r="14" spans="1:10" x14ac:dyDescent="0.35">
      <c r="A14" s="61">
        <v>14</v>
      </c>
      <c r="B14" s="61" t="s">
        <v>25</v>
      </c>
      <c r="C14" s="61" t="s">
        <v>636</v>
      </c>
      <c r="D14" s="61" cm="1">
        <f t="array" aca="1" ref="D14" ca="1">SUMPRODUCT(CODE(MID(B14,ROW(INDIRECT("1:"&amp;LEN(B14))),1)))+113</f>
        <v>553</v>
      </c>
      <c r="E14" s="62">
        <f>COUNTIF(review1_table,B14)</f>
        <v>4</v>
      </c>
      <c r="F14">
        <f>COUNTIF(review2_table,B14)</f>
        <v>4</v>
      </c>
      <c r="G14">
        <f>COUNTIF(review3_table,B14)</f>
        <v>5</v>
      </c>
      <c r="I14" s="6">
        <f>COUNTIF(defense1_list,B14)</f>
        <v>3</v>
      </c>
      <c r="J14">
        <f>COUNTIF(defense2_list,B14)</f>
        <v>3</v>
      </c>
    </row>
    <row r="15" spans="1:10" x14ac:dyDescent="0.35">
      <c r="A15" s="61">
        <v>15</v>
      </c>
      <c r="B15" s="61" t="s">
        <v>20</v>
      </c>
      <c r="C15" s="61" t="s">
        <v>637</v>
      </c>
      <c r="D15" s="61" cm="1">
        <f t="array" aca="1" ref="D15" ca="1">SUMPRODUCT(CODE(MID(B15,ROW(INDIRECT("1:"&amp;LEN(B15))),1)))+113</f>
        <v>702</v>
      </c>
      <c r="E15" s="62">
        <f>COUNTIF(review1_table,B15)</f>
        <v>4</v>
      </c>
      <c r="F15">
        <f>COUNTIF(review2_table,B15)</f>
        <v>4</v>
      </c>
      <c r="G15">
        <f>COUNTIF(review3_table,B15)</f>
        <v>8</v>
      </c>
      <c r="I15" s="6">
        <f>COUNTIF(defense1_list,B15)</f>
        <v>3</v>
      </c>
      <c r="J15">
        <f>COUNTIF(defense2_list,B15)</f>
        <v>3</v>
      </c>
    </row>
    <row r="16" spans="1:10" x14ac:dyDescent="0.35">
      <c r="A16" s="61">
        <v>16</v>
      </c>
      <c r="B16" s="61" t="s">
        <v>67</v>
      </c>
      <c r="C16" s="61" t="s">
        <v>636</v>
      </c>
      <c r="D16" s="61" cm="1">
        <f t="array" aca="1" ref="D16" ca="1">SUMPRODUCT(CODE(MID(B16,ROW(INDIRECT("1:"&amp;LEN(B16))),1)))+113</f>
        <v>818</v>
      </c>
      <c r="E16" s="62">
        <f>COUNTIF(review1_table,B16)</f>
        <v>0</v>
      </c>
      <c r="F16">
        <f>COUNTIF(review2_table,B16)</f>
        <v>0</v>
      </c>
      <c r="G16">
        <f>COUNTIF(review3_table,B16)</f>
        <v>0</v>
      </c>
      <c r="I16" s="6">
        <f>COUNTIF(defense1_list,B16)</f>
        <v>3</v>
      </c>
      <c r="J16">
        <f>COUNTIF(defense2_list,B16)</f>
        <v>3</v>
      </c>
    </row>
    <row r="17" spans="1:10" x14ac:dyDescent="0.35">
      <c r="A17" s="61">
        <v>17</v>
      </c>
      <c r="B17" s="61" t="s">
        <v>638</v>
      </c>
      <c r="C17" s="61" t="s">
        <v>636</v>
      </c>
      <c r="D17" s="61" cm="1">
        <f t="array" aca="1" ref="D17" ca="1">SUMPRODUCT(CODE(MID(B17,ROW(INDIRECT("1:"&amp;LEN(B17))),1)))+113</f>
        <v>712</v>
      </c>
      <c r="E17" s="62">
        <f>COUNTIF(review1_table,B17)</f>
        <v>0</v>
      </c>
      <c r="F17">
        <f>COUNTIF(review2_table,B17)</f>
        <v>0</v>
      </c>
      <c r="G17">
        <f>COUNTIF(review3_table,B17)</f>
        <v>0</v>
      </c>
      <c r="I17" s="6">
        <f>COUNTIF(defense1_list,B17)</f>
        <v>3</v>
      </c>
      <c r="J17">
        <f>COUNTIF(defense2_list,B17)</f>
        <v>3</v>
      </c>
    </row>
    <row r="18" spans="1:10" x14ac:dyDescent="0.35">
      <c r="A18" s="61">
        <v>18</v>
      </c>
      <c r="B18" s="61" t="s">
        <v>86</v>
      </c>
      <c r="C18" s="61" t="s">
        <v>635</v>
      </c>
      <c r="D18" s="61" cm="1">
        <f t="array" aca="1" ref="D18" ca="1">SUMPRODUCT(CODE(MID(B18,ROW(INDIRECT("1:"&amp;LEN(B18))),1)))+113</f>
        <v>556</v>
      </c>
      <c r="E18" s="62">
        <f>COUNTIF(review1_table,B18)</f>
        <v>0</v>
      </c>
      <c r="F18">
        <f>COUNTIF(review2_table,B18)</f>
        <v>0</v>
      </c>
      <c r="G18">
        <f>COUNTIF(review3_table,B18)</f>
        <v>0</v>
      </c>
      <c r="I18" s="6">
        <f>COUNTIF(defense1_list,B18)</f>
        <v>2</v>
      </c>
      <c r="J18">
        <f>COUNTIF(defense2_list,B18)</f>
        <v>3</v>
      </c>
    </row>
    <row r="19" spans="1:10" x14ac:dyDescent="0.35">
      <c r="A19" s="61">
        <v>19</v>
      </c>
      <c r="B19" s="62" t="s">
        <v>71</v>
      </c>
      <c r="C19" s="61" t="s">
        <v>636</v>
      </c>
      <c r="D19" s="61" cm="1">
        <f t="array" aca="1" ref="D19" ca="1">SUMPRODUCT(CODE(MID(B19,ROW(INDIRECT("1:"&amp;LEN(B19))),1)))+113</f>
        <v>938</v>
      </c>
      <c r="E19" s="62">
        <f>COUNTIF(review1_table,B19)</f>
        <v>0</v>
      </c>
      <c r="F19">
        <f>COUNTIF(review2_table,B19)</f>
        <v>0</v>
      </c>
      <c r="G19">
        <f>COUNTIF(review3_table,B19)</f>
        <v>0</v>
      </c>
      <c r="I19" s="6">
        <f>COUNTIF(defense1_list,B19)</f>
        <v>2</v>
      </c>
      <c r="J19">
        <f>COUNTIF(defense2_list,B19)</f>
        <v>3</v>
      </c>
    </row>
    <row r="20" spans="1:10" x14ac:dyDescent="0.35">
      <c r="A20" s="61">
        <v>20</v>
      </c>
      <c r="B20" s="61" t="s">
        <v>15</v>
      </c>
      <c r="C20" s="61" t="s">
        <v>636</v>
      </c>
      <c r="D20" s="61" cm="1">
        <f t="array" aca="1" ref="D20" ca="1">SUMPRODUCT(CODE(MID(B20,ROW(INDIRECT("1:"&amp;LEN(B20))),1)))+113</f>
        <v>684</v>
      </c>
      <c r="E20" s="62">
        <f>COUNTIF(review1_table,B20)</f>
        <v>0</v>
      </c>
      <c r="F20">
        <f>COUNTIF(review2_table,B20)</f>
        <v>0</v>
      </c>
      <c r="G20">
        <f>COUNTIF(review3_table,B20)</f>
        <v>0</v>
      </c>
      <c r="I20" s="6">
        <f>COUNTIF(defense1_list,B20)</f>
        <v>0</v>
      </c>
      <c r="J20">
        <f>COUNTIF(defense2_list,B20)</f>
        <v>3</v>
      </c>
    </row>
    <row r="21" spans="1:10" x14ac:dyDescent="0.35">
      <c r="A21" s="61">
        <v>21</v>
      </c>
      <c r="B21" s="61" t="s">
        <v>22</v>
      </c>
      <c r="C21" s="61" t="s">
        <v>637</v>
      </c>
      <c r="D21" s="61" cm="1">
        <f t="array" aca="1" ref="D21" ca="1">SUMPRODUCT(CODE(MID(B21,ROW(INDIRECT("1:"&amp;LEN(B21))),1)))+113</f>
        <v>1012</v>
      </c>
      <c r="E21" s="62">
        <f>COUNTIF(review1_table,B21)</f>
        <v>0</v>
      </c>
      <c r="F21">
        <f>COUNTIF(review2_table,B21)</f>
        <v>0</v>
      </c>
      <c r="G21">
        <f>COUNTIF(review3_table,B21)</f>
        <v>0</v>
      </c>
      <c r="I21" s="6">
        <f>COUNTIF(defense1_list,B21)</f>
        <v>2</v>
      </c>
      <c r="J21">
        <f>COUNTIF(defense2_list,B21)</f>
        <v>2</v>
      </c>
    </row>
    <row r="22" spans="1:10" x14ac:dyDescent="0.35">
      <c r="A22" s="61">
        <v>22</v>
      </c>
      <c r="B22" s="61" t="s">
        <v>16</v>
      </c>
      <c r="C22" s="61" t="s">
        <v>637</v>
      </c>
      <c r="D22" s="61" cm="1">
        <f t="array" aca="1" ref="D22" ca="1">SUMPRODUCT(CODE(MID(B22,ROW(INDIRECT("1:"&amp;LEN(B22))),1)))+113</f>
        <v>775</v>
      </c>
      <c r="E22" s="62">
        <f>COUNTIF(review1_table,B22)</f>
        <v>0</v>
      </c>
      <c r="F22">
        <f>COUNTIF(review2_table,B22)</f>
        <v>0</v>
      </c>
      <c r="G22">
        <f>COUNTIF(review3_table,B22)</f>
        <v>0</v>
      </c>
      <c r="I22" s="6">
        <f>COUNTIF(defense1_list,B22)</f>
        <v>2</v>
      </c>
      <c r="J22">
        <f>COUNTIF(defense2_list,B22)</f>
        <v>2</v>
      </c>
    </row>
    <row r="23" spans="1:10" x14ac:dyDescent="0.35">
      <c r="A23" s="61">
        <v>23</v>
      </c>
      <c r="B23" s="61" t="s">
        <v>29</v>
      </c>
      <c r="C23" s="61" t="s">
        <v>637</v>
      </c>
      <c r="D23" s="61" cm="1">
        <f t="array" aca="1" ref="D23" ca="1">SUMPRODUCT(CODE(MID(B23,ROW(INDIRECT("1:"&amp;LEN(B23))),1)))+113</f>
        <v>787</v>
      </c>
      <c r="E23" s="62">
        <f>COUNTIF(review1_table,B23)</f>
        <v>0</v>
      </c>
      <c r="F23">
        <f>COUNTIF(review2_table,B23)</f>
        <v>0</v>
      </c>
      <c r="G23">
        <f>COUNTIF(review3_table,B23)</f>
        <v>0</v>
      </c>
      <c r="I23" s="6">
        <f>COUNTIF(defense1_list,B23)</f>
        <v>1</v>
      </c>
      <c r="J23">
        <f>COUNTIF(defense2_list,B23)</f>
        <v>2</v>
      </c>
    </row>
    <row r="24" spans="1:10" x14ac:dyDescent="0.35">
      <c r="A24" s="61">
        <v>24</v>
      </c>
      <c r="B24" s="61" t="s">
        <v>76</v>
      </c>
      <c r="C24" s="61" t="s">
        <v>635</v>
      </c>
      <c r="D24" s="61" cm="1">
        <f t="array" aca="1" ref="D24" ca="1">SUMPRODUCT(CODE(MID(B24,ROW(INDIRECT("1:"&amp;LEN(B24))),1)))+113</f>
        <v>1013</v>
      </c>
      <c r="E24" s="62">
        <f>COUNTIF(review1_table,B24)</f>
        <v>3</v>
      </c>
      <c r="F24">
        <f>COUNTIF(review2_table,B24)</f>
        <v>3</v>
      </c>
      <c r="G24">
        <f>COUNTIF(review3_table,B24)</f>
        <v>0</v>
      </c>
      <c r="I24" s="6">
        <f>COUNTIF(defense1_list,B24)</f>
        <v>2</v>
      </c>
      <c r="J24">
        <f>COUNTIF(defense2_list,B24)</f>
        <v>2</v>
      </c>
    </row>
    <row r="25" spans="1:10" x14ac:dyDescent="0.35">
      <c r="A25" s="61">
        <v>25</v>
      </c>
      <c r="B25" s="61" t="s">
        <v>28</v>
      </c>
      <c r="C25" s="61" t="s">
        <v>637</v>
      </c>
      <c r="D25" s="61" cm="1">
        <f t="array" aca="1" ref="D25" ca="1">SUMPRODUCT(CODE(MID(B25,ROW(INDIRECT("1:"&amp;LEN(B25))),1)))+113</f>
        <v>801</v>
      </c>
      <c r="E25" s="62">
        <f>COUNTIF(review1_table,B25)</f>
        <v>0</v>
      </c>
      <c r="F25">
        <f>COUNTIF(review2_table,B25)</f>
        <v>0</v>
      </c>
      <c r="G25">
        <f>COUNTIF(review3_table,B25)</f>
        <v>0</v>
      </c>
      <c r="I25" s="6">
        <f>COUNTIF(defense1_list,B25)</f>
        <v>2</v>
      </c>
      <c r="J25">
        <f>COUNTIF(defense2_list,B25)</f>
        <v>2</v>
      </c>
    </row>
    <row r="26" spans="1:10" x14ac:dyDescent="0.35">
      <c r="A26" s="61">
        <v>26</v>
      </c>
      <c r="B26" s="61" t="s">
        <v>65</v>
      </c>
      <c r="C26" s="61" t="s">
        <v>637</v>
      </c>
      <c r="D26" s="61" cm="1">
        <f t="array" aca="1" ref="D26" ca="1">SUMPRODUCT(CODE(MID(B26,ROW(INDIRECT("1:"&amp;LEN(B26))),1)))+113</f>
        <v>647</v>
      </c>
      <c r="E26" s="62">
        <f>COUNTIF(review1_table,B26)</f>
        <v>0</v>
      </c>
      <c r="F26">
        <f>COUNTIF(review2_table,B26)</f>
        <v>0</v>
      </c>
      <c r="G26">
        <f>COUNTIF(review3_table,B26)</f>
        <v>0</v>
      </c>
      <c r="I26" s="6">
        <f>COUNTIF(defense1_list,B26)</f>
        <v>2</v>
      </c>
      <c r="J26">
        <f>COUNTIF(defense2_list,B26)</f>
        <v>0</v>
      </c>
    </row>
    <row r="27" spans="1:10" x14ac:dyDescent="0.35">
      <c r="A27" s="61">
        <v>27</v>
      </c>
      <c r="B27" s="61" t="s">
        <v>88</v>
      </c>
      <c r="C27" s="61" t="s">
        <v>637</v>
      </c>
      <c r="D27" s="61" cm="1">
        <f t="array" aca="1" ref="D27" ca="1">SUMPRODUCT(CODE(MID(B27,ROW(INDIRECT("1:"&amp;LEN(B27))),1)))+113</f>
        <v>636</v>
      </c>
      <c r="E27" s="62">
        <f>COUNTIF(review1_table,B27)</f>
        <v>0</v>
      </c>
      <c r="F27">
        <f>COUNTIF(review2_table,B27)</f>
        <v>0</v>
      </c>
      <c r="G27">
        <f>COUNTIF(review3_table,B27)</f>
        <v>0</v>
      </c>
      <c r="I27" s="6">
        <f>COUNTIF(defense1_list,B27)</f>
        <v>1</v>
      </c>
      <c r="J27">
        <f>COUNTIF(defense2_list,B27)</f>
        <v>1</v>
      </c>
    </row>
    <row r="28" spans="1:10" x14ac:dyDescent="0.35">
      <c r="A28" s="61">
        <v>28</v>
      </c>
      <c r="B28" s="61" t="s">
        <v>640</v>
      </c>
      <c r="C28" s="61" t="s">
        <v>637</v>
      </c>
      <c r="D28" s="61" cm="1">
        <f t="array" aca="1" ref="D28" ca="1">SUMPRODUCT(CODE(MID(B28,ROW(INDIRECT("1:"&amp;LEN(B28))),1)))+113</f>
        <v>483</v>
      </c>
      <c r="E28" s="62">
        <f>COUNTIF(review1_table,B28)</f>
        <v>0</v>
      </c>
      <c r="F28">
        <f>COUNTIF(review2_table,B28)</f>
        <v>0</v>
      </c>
      <c r="G28">
        <f>COUNTIF(review3_table,B28)</f>
        <v>0</v>
      </c>
      <c r="I28" s="6">
        <f>COUNTIF(defense1_list,B28)</f>
        <v>1</v>
      </c>
      <c r="J28">
        <f>COUNTIF(defense2_list,B28)</f>
        <v>0</v>
      </c>
    </row>
    <row r="29" spans="1:10" x14ac:dyDescent="0.35">
      <c r="A29" s="61">
        <v>28</v>
      </c>
      <c r="B29" s="61" t="s">
        <v>75</v>
      </c>
      <c r="C29" s="61" t="s">
        <v>637</v>
      </c>
      <c r="D29" s="61" cm="1">
        <f t="array" aca="1" ref="D29" ca="1">SUMPRODUCT(CODE(MID(B29,ROW(INDIRECT("1:"&amp;LEN(B29))),1)))+113</f>
        <v>933</v>
      </c>
      <c r="E29" s="62">
        <f>COUNTIF(review1_table,B29)</f>
        <v>0</v>
      </c>
      <c r="F29">
        <f>COUNTIF(review2_table,B29)</f>
        <v>0</v>
      </c>
      <c r="G29">
        <f>COUNTIF(review3_table,B29)</f>
        <v>0</v>
      </c>
      <c r="I29" s="6">
        <f>COUNTIF(defense1_list,B29)</f>
        <v>0</v>
      </c>
      <c r="J29">
        <f>COUNTIF(defense2_list,B29)</f>
        <v>0</v>
      </c>
    </row>
    <row r="30" spans="1:10" x14ac:dyDescent="0.35">
      <c r="A30" s="61">
        <v>29</v>
      </c>
      <c r="B30" s="61" t="s">
        <v>85</v>
      </c>
      <c r="C30" s="61" t="s">
        <v>637</v>
      </c>
      <c r="D30" s="61" cm="1">
        <f t="array" aca="1" ref="D30" ca="1">SUMPRODUCT(CODE(MID(B30,ROW(INDIRECT("1:"&amp;LEN(B30))),1)))+113</f>
        <v>762</v>
      </c>
      <c r="E30" s="62">
        <f>COUNTIF(review1_table,B30)</f>
        <v>0</v>
      </c>
      <c r="F30">
        <f>COUNTIF(review2_table,B30)</f>
        <v>0</v>
      </c>
      <c r="G30">
        <f>COUNTIF(review3_table,B30)</f>
        <v>0</v>
      </c>
      <c r="I30" s="6">
        <f>COUNTIF(defense1_list,B30)</f>
        <v>0</v>
      </c>
      <c r="J30">
        <f>COUNTIF(defense2_list,B30)</f>
        <v>0</v>
      </c>
    </row>
    <row r="31" spans="1:10" x14ac:dyDescent="0.35">
      <c r="A31" s="61">
        <v>30</v>
      </c>
      <c r="B31" s="61" t="s">
        <v>639</v>
      </c>
      <c r="C31" s="61" t="s">
        <v>637</v>
      </c>
      <c r="D31" s="61" cm="1">
        <f t="array" aca="1" ref="D31" ca="1">SUMPRODUCT(CODE(MID(B31,ROW(INDIRECT("1:"&amp;LEN(B31))),1)))+113</f>
        <v>682</v>
      </c>
      <c r="E31" s="62">
        <f>COUNTIF(review1_table,B31)</f>
        <v>0</v>
      </c>
      <c r="F31">
        <f>COUNTIF(review2_table,B31)</f>
        <v>0</v>
      </c>
      <c r="G31">
        <f>COUNTIF(review3_table,B31)</f>
        <v>0</v>
      </c>
      <c r="I31" s="6">
        <f>COUNTIF(defense1_list,B31)</f>
        <v>0</v>
      </c>
      <c r="J31">
        <f>COUNTIF(defense2_list,B31)</f>
        <v>0</v>
      </c>
    </row>
    <row r="32" spans="1:10" x14ac:dyDescent="0.35">
      <c r="A32" s="61">
        <v>32</v>
      </c>
      <c r="B32" s="61" t="s">
        <v>641</v>
      </c>
      <c r="C32" s="61" t="s">
        <v>635</v>
      </c>
      <c r="D32" s="61" cm="1">
        <f t="array" aca="1" ref="D32" ca="1">SUMPRODUCT(CODE(MID(B32,ROW(INDIRECT("1:"&amp;LEN(B32))),1)))+113</f>
        <v>800</v>
      </c>
      <c r="E32" s="62">
        <f>COUNTIF(review1_table,B32)</f>
        <v>0</v>
      </c>
      <c r="F32">
        <f>COUNTIF(review2_table,B32)</f>
        <v>0</v>
      </c>
      <c r="G32">
        <f>COUNTIF(review3_table,B32)</f>
        <v>0</v>
      </c>
      <c r="I32" s="6">
        <f>COUNTIF(defense1_list,B32)</f>
        <v>0</v>
      </c>
      <c r="J32">
        <f>COUNTIF(defense2_list,B32)</f>
        <v>0</v>
      </c>
    </row>
    <row r="33" spans="1:9" x14ac:dyDescent="0.35">
      <c r="A33" s="63"/>
      <c r="B33" s="63"/>
      <c r="C33" s="63"/>
      <c r="D33" s="61"/>
      <c r="E33" s="62"/>
      <c r="I33" s="13"/>
    </row>
    <row r="34" spans="1:9" x14ac:dyDescent="0.35">
      <c r="I34" s="13"/>
    </row>
    <row r="35" spans="1:9" x14ac:dyDescent="0.35">
      <c r="I35" s="13"/>
    </row>
    <row r="36" spans="1:9" x14ac:dyDescent="0.35">
      <c r="I36" s="13"/>
    </row>
    <row r="37" spans="1:9" x14ac:dyDescent="0.35">
      <c r="I37" s="13"/>
    </row>
    <row r="38" spans="1:9" x14ac:dyDescent="0.35">
      <c r="I38" s="13"/>
    </row>
    <row r="39" spans="1:9" x14ac:dyDescent="0.35">
      <c r="I39" s="13"/>
    </row>
    <row r="40" spans="1:9" x14ac:dyDescent="0.35">
      <c r="I40" s="13"/>
    </row>
    <row r="41" spans="1:9" x14ac:dyDescent="0.35">
      <c r="I41" s="13"/>
    </row>
    <row r="42" spans="1:9" x14ac:dyDescent="0.35">
      <c r="I42" s="13"/>
    </row>
    <row r="43" spans="1:9" x14ac:dyDescent="0.35">
      <c r="I43" s="13"/>
    </row>
    <row r="44" spans="1:9" x14ac:dyDescent="0.35">
      <c r="I44" s="13"/>
    </row>
    <row r="45" spans="1:9" x14ac:dyDescent="0.35">
      <c r="I45" s="13"/>
    </row>
    <row r="46" spans="1:9" x14ac:dyDescent="0.35">
      <c r="I46" s="13"/>
    </row>
    <row r="47" spans="1:9" x14ac:dyDescent="0.35">
      <c r="I47" s="13"/>
    </row>
    <row r="48" spans="1:9" x14ac:dyDescent="0.35">
      <c r="I48" s="13"/>
    </row>
    <row r="49" spans="9:9" x14ac:dyDescent="0.35">
      <c r="I49" s="13"/>
    </row>
    <row r="50" spans="9:9" x14ac:dyDescent="0.35">
      <c r="I50" s="13"/>
    </row>
    <row r="51" spans="9:9" x14ac:dyDescent="0.35">
      <c r="I51" s="13"/>
    </row>
    <row r="52" spans="9:9" x14ac:dyDescent="0.35">
      <c r="I52" s="13"/>
    </row>
    <row r="53" spans="9:9" x14ac:dyDescent="0.35">
      <c r="I53" s="13"/>
    </row>
    <row r="54" spans="9:9" x14ac:dyDescent="0.35">
      <c r="I54" s="13"/>
    </row>
    <row r="55" spans="9:9" x14ac:dyDescent="0.35">
      <c r="I55" s="13"/>
    </row>
    <row r="56" spans="9:9" x14ac:dyDescent="0.35">
      <c r="I56" s="13"/>
    </row>
    <row r="57" spans="9:9" x14ac:dyDescent="0.35">
      <c r="I57" s="13"/>
    </row>
    <row r="58" spans="9:9" x14ac:dyDescent="0.35">
      <c r="I58" s="13"/>
    </row>
    <row r="59" spans="9:9" x14ac:dyDescent="0.35">
      <c r="I59" s="13"/>
    </row>
    <row r="60" spans="9:9" x14ac:dyDescent="0.35">
      <c r="I60" s="13"/>
    </row>
    <row r="61" spans="9:9" x14ac:dyDescent="0.35">
      <c r="I61" s="13"/>
    </row>
    <row r="62" spans="9:9" x14ac:dyDescent="0.35">
      <c r="I62" s="13"/>
    </row>
    <row r="63" spans="9:9" x14ac:dyDescent="0.35">
      <c r="I63" s="13"/>
    </row>
    <row r="64" spans="9:9" x14ac:dyDescent="0.35">
      <c r="I64" s="13"/>
    </row>
    <row r="65" spans="9:9" x14ac:dyDescent="0.35">
      <c r="I65" s="13"/>
    </row>
    <row r="66" spans="9:9" x14ac:dyDescent="0.35">
      <c r="I66" s="13"/>
    </row>
    <row r="67" spans="9:9" x14ac:dyDescent="0.35">
      <c r="I67" s="13"/>
    </row>
    <row r="68" spans="9:9" x14ac:dyDescent="0.35">
      <c r="I68" s="13"/>
    </row>
    <row r="69" spans="9:9" x14ac:dyDescent="0.35">
      <c r="I69" s="13"/>
    </row>
    <row r="70" spans="9:9" x14ac:dyDescent="0.35">
      <c r="I70" s="13"/>
    </row>
    <row r="71" spans="9:9" x14ac:dyDescent="0.35">
      <c r="I71" s="13"/>
    </row>
    <row r="72" spans="9:9" x14ac:dyDescent="0.35">
      <c r="I72" s="13"/>
    </row>
    <row r="73" spans="9:9" x14ac:dyDescent="0.35">
      <c r="I73" s="13"/>
    </row>
    <row r="74" spans="9:9" x14ac:dyDescent="0.35">
      <c r="I74" s="13"/>
    </row>
    <row r="75" spans="9:9" x14ac:dyDescent="0.35">
      <c r="I75" s="13"/>
    </row>
    <row r="76" spans="9:9" x14ac:dyDescent="0.35">
      <c r="I76" s="13"/>
    </row>
    <row r="77" spans="9:9" x14ac:dyDescent="0.35">
      <c r="I77" s="13"/>
    </row>
    <row r="78" spans="9:9" x14ac:dyDescent="0.35">
      <c r="I78" s="13"/>
    </row>
    <row r="79" spans="9:9" x14ac:dyDescent="0.35">
      <c r="I79" s="13"/>
    </row>
    <row r="80" spans="9:9" x14ac:dyDescent="0.35">
      <c r="I80" s="13"/>
    </row>
    <row r="81" spans="9:9" x14ac:dyDescent="0.35">
      <c r="I81" s="13"/>
    </row>
    <row r="82" spans="9:9" x14ac:dyDescent="0.35">
      <c r="I82" s="13"/>
    </row>
    <row r="83" spans="9:9" x14ac:dyDescent="0.35">
      <c r="I83" s="13"/>
    </row>
    <row r="84" spans="9:9" x14ac:dyDescent="0.35">
      <c r="I84" s="13"/>
    </row>
    <row r="85" spans="9:9" x14ac:dyDescent="0.35">
      <c r="I85" s="13"/>
    </row>
    <row r="86" spans="9:9" x14ac:dyDescent="0.35">
      <c r="I86" s="13"/>
    </row>
    <row r="87" spans="9:9" x14ac:dyDescent="0.35">
      <c r="I87" s="13"/>
    </row>
    <row r="88" spans="9:9" x14ac:dyDescent="0.35">
      <c r="I88" s="13"/>
    </row>
    <row r="89" spans="9:9" x14ac:dyDescent="0.35">
      <c r="I89" s="13"/>
    </row>
    <row r="90" spans="9:9" x14ac:dyDescent="0.35">
      <c r="I90" s="13"/>
    </row>
    <row r="91" spans="9:9" x14ac:dyDescent="0.35">
      <c r="I91" s="13"/>
    </row>
    <row r="92" spans="9:9" x14ac:dyDescent="0.35">
      <c r="I92" s="13"/>
    </row>
    <row r="93" spans="9:9" x14ac:dyDescent="0.35">
      <c r="I93" s="13"/>
    </row>
    <row r="94" spans="9:9" x14ac:dyDescent="0.35">
      <c r="I94" s="13"/>
    </row>
    <row r="95" spans="9:9" x14ac:dyDescent="0.35">
      <c r="I95" s="13"/>
    </row>
    <row r="96" spans="9:9" x14ac:dyDescent="0.35">
      <c r="I96" s="13"/>
    </row>
    <row r="97" spans="9:9" x14ac:dyDescent="0.35">
      <c r="I97" s="13"/>
    </row>
    <row r="98" spans="9:9" x14ac:dyDescent="0.35">
      <c r="I98" s="13"/>
    </row>
    <row r="99" spans="9:9" x14ac:dyDescent="0.35">
      <c r="I99" s="13"/>
    </row>
    <row r="100" spans="9:9" x14ac:dyDescent="0.35">
      <c r="I100" s="13"/>
    </row>
    <row r="101" spans="9:9" x14ac:dyDescent="0.35">
      <c r="I101" s="13"/>
    </row>
    <row r="102" spans="9:9" x14ac:dyDescent="0.35">
      <c r="I102" s="13"/>
    </row>
    <row r="103" spans="9:9" x14ac:dyDescent="0.35">
      <c r="I103" s="13"/>
    </row>
    <row r="104" spans="9:9" x14ac:dyDescent="0.35">
      <c r="I104" s="13"/>
    </row>
    <row r="105" spans="9:9" x14ac:dyDescent="0.35">
      <c r="I105" s="13"/>
    </row>
    <row r="106" spans="9:9" x14ac:dyDescent="0.35">
      <c r="I106" s="13"/>
    </row>
    <row r="107" spans="9:9" x14ac:dyDescent="0.35">
      <c r="I107" s="13"/>
    </row>
    <row r="108" spans="9:9" x14ac:dyDescent="0.35">
      <c r="I108" s="13"/>
    </row>
    <row r="109" spans="9:9" x14ac:dyDescent="0.35">
      <c r="I109" s="13"/>
    </row>
    <row r="110" spans="9:9" x14ac:dyDescent="0.35">
      <c r="I110" s="13"/>
    </row>
    <row r="111" spans="9:9" x14ac:dyDescent="0.35">
      <c r="I111" s="13"/>
    </row>
    <row r="112" spans="9:9" x14ac:dyDescent="0.35">
      <c r="I112" s="13"/>
    </row>
    <row r="113" spans="9:9" x14ac:dyDescent="0.35">
      <c r="I113" s="13"/>
    </row>
    <row r="114" spans="9:9" x14ac:dyDescent="0.35">
      <c r="I114" s="13"/>
    </row>
    <row r="115" spans="9:9" x14ac:dyDescent="0.35">
      <c r="I115" s="13"/>
    </row>
    <row r="116" spans="9:9" x14ac:dyDescent="0.35">
      <c r="I116" s="13"/>
    </row>
    <row r="117" spans="9:9" x14ac:dyDescent="0.35">
      <c r="I117" s="13"/>
    </row>
    <row r="118" spans="9:9" x14ac:dyDescent="0.35">
      <c r="I118" s="13"/>
    </row>
    <row r="119" spans="9:9" x14ac:dyDescent="0.35">
      <c r="I119" s="13"/>
    </row>
    <row r="120" spans="9:9" x14ac:dyDescent="0.35">
      <c r="I120" s="13"/>
    </row>
    <row r="121" spans="9:9" x14ac:dyDescent="0.35">
      <c r="I121" s="13"/>
    </row>
    <row r="122" spans="9:9" x14ac:dyDescent="0.35">
      <c r="I122" s="13"/>
    </row>
    <row r="123" spans="9:9" x14ac:dyDescent="0.35">
      <c r="I123" s="13"/>
    </row>
    <row r="124" spans="9:9" x14ac:dyDescent="0.35">
      <c r="I124" s="13"/>
    </row>
    <row r="125" spans="9:9" x14ac:dyDescent="0.35">
      <c r="I125" s="13"/>
    </row>
    <row r="126" spans="9:9" x14ac:dyDescent="0.35">
      <c r="I126" s="13"/>
    </row>
    <row r="127" spans="9:9" x14ac:dyDescent="0.35">
      <c r="I127" s="13"/>
    </row>
    <row r="128" spans="9:9" x14ac:dyDescent="0.35">
      <c r="I128" s="13"/>
    </row>
    <row r="129" spans="9:9" x14ac:dyDescent="0.35">
      <c r="I129" s="13"/>
    </row>
    <row r="130" spans="9:9" x14ac:dyDescent="0.35">
      <c r="I130" s="13"/>
    </row>
    <row r="131" spans="9:9" x14ac:dyDescent="0.35">
      <c r="I131" s="13"/>
    </row>
    <row r="132" spans="9:9" x14ac:dyDescent="0.35">
      <c r="I132" s="13"/>
    </row>
    <row r="133" spans="9:9" x14ac:dyDescent="0.35">
      <c r="I133" s="13"/>
    </row>
    <row r="134" spans="9:9" x14ac:dyDescent="0.35">
      <c r="I134" s="13"/>
    </row>
    <row r="135" spans="9:9" x14ac:dyDescent="0.35">
      <c r="I135" s="13"/>
    </row>
    <row r="136" spans="9:9" x14ac:dyDescent="0.35">
      <c r="I136" s="13"/>
    </row>
    <row r="137" spans="9:9" x14ac:dyDescent="0.35">
      <c r="I137" s="13"/>
    </row>
    <row r="138" spans="9:9" x14ac:dyDescent="0.35">
      <c r="I138" s="13"/>
    </row>
    <row r="139" spans="9:9" x14ac:dyDescent="0.35">
      <c r="I139" s="13"/>
    </row>
    <row r="140" spans="9:9" x14ac:dyDescent="0.35">
      <c r="I140" s="13"/>
    </row>
    <row r="141" spans="9:9" x14ac:dyDescent="0.35">
      <c r="I141" s="13"/>
    </row>
    <row r="142" spans="9:9" x14ac:dyDescent="0.35">
      <c r="I142" s="13"/>
    </row>
    <row r="143" spans="9:9" x14ac:dyDescent="0.35">
      <c r="I143" s="13"/>
    </row>
    <row r="144" spans="9:9" x14ac:dyDescent="0.35">
      <c r="I144" s="13"/>
    </row>
    <row r="145" spans="9:9" x14ac:dyDescent="0.35">
      <c r="I145" s="13"/>
    </row>
    <row r="146" spans="9:9" x14ac:dyDescent="0.35">
      <c r="I146" s="13"/>
    </row>
    <row r="147" spans="9:9" x14ac:dyDescent="0.35">
      <c r="I147" s="13"/>
    </row>
    <row r="148" spans="9:9" x14ac:dyDescent="0.35">
      <c r="I148" s="13"/>
    </row>
    <row r="149" spans="9:9" x14ac:dyDescent="0.35">
      <c r="I149" s="13"/>
    </row>
    <row r="150" spans="9:9" x14ac:dyDescent="0.35">
      <c r="I150" s="13"/>
    </row>
    <row r="151" spans="9:9" x14ac:dyDescent="0.35">
      <c r="I151" s="13"/>
    </row>
    <row r="152" spans="9:9" x14ac:dyDescent="0.35">
      <c r="I152" s="13"/>
    </row>
    <row r="153" spans="9:9" x14ac:dyDescent="0.35">
      <c r="I153" s="13"/>
    </row>
    <row r="154" spans="9:9" x14ac:dyDescent="0.35">
      <c r="I154" s="13"/>
    </row>
    <row r="155" spans="9:9" x14ac:dyDescent="0.35">
      <c r="I155" s="13"/>
    </row>
    <row r="156" spans="9:9" x14ac:dyDescent="0.35">
      <c r="I156" s="13"/>
    </row>
    <row r="157" spans="9:9" x14ac:dyDescent="0.35">
      <c r="I157" s="13"/>
    </row>
    <row r="158" spans="9:9" x14ac:dyDescent="0.35">
      <c r="I158" s="13"/>
    </row>
    <row r="159" spans="9:9" x14ac:dyDescent="0.35">
      <c r="I159" s="13"/>
    </row>
    <row r="160" spans="9:9" x14ac:dyDescent="0.35">
      <c r="I160" s="13"/>
    </row>
    <row r="161" spans="9:9" x14ac:dyDescent="0.35">
      <c r="I161" s="13"/>
    </row>
    <row r="162" spans="9:9" x14ac:dyDescent="0.35">
      <c r="I162" s="13"/>
    </row>
    <row r="163" spans="9:9" x14ac:dyDescent="0.35">
      <c r="I163" s="13"/>
    </row>
    <row r="164" spans="9:9" x14ac:dyDescent="0.35">
      <c r="I164" s="13"/>
    </row>
    <row r="165" spans="9:9" x14ac:dyDescent="0.35">
      <c r="I165" s="13"/>
    </row>
    <row r="166" spans="9:9" x14ac:dyDescent="0.35">
      <c r="I166" s="13"/>
    </row>
    <row r="167" spans="9:9" x14ac:dyDescent="0.35">
      <c r="I167" s="13"/>
    </row>
    <row r="168" spans="9:9" x14ac:dyDescent="0.35">
      <c r="I168" s="13"/>
    </row>
    <row r="169" spans="9:9" x14ac:dyDescent="0.35">
      <c r="I169" s="13"/>
    </row>
    <row r="170" spans="9:9" x14ac:dyDescent="0.35">
      <c r="I170" s="13"/>
    </row>
    <row r="171" spans="9:9" x14ac:dyDescent="0.35">
      <c r="I171" s="13"/>
    </row>
    <row r="172" spans="9:9" x14ac:dyDescent="0.35">
      <c r="I172" s="13"/>
    </row>
    <row r="173" spans="9:9" x14ac:dyDescent="0.35">
      <c r="I173" s="13"/>
    </row>
    <row r="174" spans="9:9" x14ac:dyDescent="0.35">
      <c r="I174" s="13"/>
    </row>
    <row r="175" spans="9:9" x14ac:dyDescent="0.35">
      <c r="I175" s="13"/>
    </row>
    <row r="176" spans="9:9" x14ac:dyDescent="0.35">
      <c r="I176" s="13"/>
    </row>
    <row r="177" spans="9:9" x14ac:dyDescent="0.35">
      <c r="I177" s="13"/>
    </row>
    <row r="178" spans="9:9" x14ac:dyDescent="0.35">
      <c r="I178" s="13"/>
    </row>
    <row r="179" spans="9:9" x14ac:dyDescent="0.35">
      <c r="I179" s="13"/>
    </row>
    <row r="180" spans="9:9" x14ac:dyDescent="0.35">
      <c r="I180" s="13"/>
    </row>
    <row r="181" spans="9:9" x14ac:dyDescent="0.35">
      <c r="I181" s="13"/>
    </row>
    <row r="182" spans="9:9" x14ac:dyDescent="0.35">
      <c r="I182" s="13"/>
    </row>
    <row r="183" spans="9:9" x14ac:dyDescent="0.35">
      <c r="I183" s="13"/>
    </row>
    <row r="184" spans="9:9" x14ac:dyDescent="0.35">
      <c r="I184" s="13"/>
    </row>
    <row r="185" spans="9:9" x14ac:dyDescent="0.35">
      <c r="I185" s="13"/>
    </row>
    <row r="186" spans="9:9" x14ac:dyDescent="0.35">
      <c r="I186" s="13"/>
    </row>
    <row r="187" spans="9:9" x14ac:dyDescent="0.35">
      <c r="I187" s="13"/>
    </row>
    <row r="188" spans="9:9" x14ac:dyDescent="0.35">
      <c r="I188" s="13"/>
    </row>
    <row r="189" spans="9:9" x14ac:dyDescent="0.35">
      <c r="I189" s="13"/>
    </row>
    <row r="190" spans="9:9" x14ac:dyDescent="0.35">
      <c r="I190" s="13"/>
    </row>
    <row r="191" spans="9:9" x14ac:dyDescent="0.35">
      <c r="I191" s="13"/>
    </row>
    <row r="192" spans="9:9" x14ac:dyDescent="0.35">
      <c r="I192" s="13"/>
    </row>
    <row r="193" spans="9:9" x14ac:dyDescent="0.35">
      <c r="I193" s="13"/>
    </row>
    <row r="194" spans="9:9" x14ac:dyDescent="0.35">
      <c r="I194" s="13"/>
    </row>
    <row r="195" spans="9:9" x14ac:dyDescent="0.35">
      <c r="I195" s="13"/>
    </row>
    <row r="196" spans="9:9" x14ac:dyDescent="0.35">
      <c r="I196" s="13"/>
    </row>
    <row r="197" spans="9:9" x14ac:dyDescent="0.35">
      <c r="I197" s="13"/>
    </row>
    <row r="198" spans="9:9" x14ac:dyDescent="0.35">
      <c r="I198" s="13"/>
    </row>
    <row r="199" spans="9:9" x14ac:dyDescent="0.35">
      <c r="I199" s="13"/>
    </row>
    <row r="200" spans="9:9" x14ac:dyDescent="0.35">
      <c r="I200" s="13"/>
    </row>
    <row r="201" spans="9:9" x14ac:dyDescent="0.35">
      <c r="I201" s="13"/>
    </row>
    <row r="202" spans="9:9" x14ac:dyDescent="0.35">
      <c r="I202" s="13"/>
    </row>
    <row r="203" spans="9:9" x14ac:dyDescent="0.35">
      <c r="I203" s="13"/>
    </row>
    <row r="204" spans="9:9" x14ac:dyDescent="0.35">
      <c r="I204" s="13"/>
    </row>
    <row r="205" spans="9:9" x14ac:dyDescent="0.35">
      <c r="I205" s="13"/>
    </row>
    <row r="206" spans="9:9" x14ac:dyDescent="0.35">
      <c r="I206" s="13"/>
    </row>
    <row r="207" spans="9:9" x14ac:dyDescent="0.35">
      <c r="I207" s="13"/>
    </row>
    <row r="208" spans="9:9" x14ac:dyDescent="0.35">
      <c r="I208" s="13"/>
    </row>
    <row r="209" spans="9:9" x14ac:dyDescent="0.35">
      <c r="I209" s="13"/>
    </row>
    <row r="210" spans="9:9" x14ac:dyDescent="0.35">
      <c r="I210" s="13"/>
    </row>
    <row r="211" spans="9:9" x14ac:dyDescent="0.35">
      <c r="I211" s="13"/>
    </row>
    <row r="212" spans="9:9" x14ac:dyDescent="0.35">
      <c r="I212" s="13"/>
    </row>
    <row r="213" spans="9:9" x14ac:dyDescent="0.35">
      <c r="I213" s="13"/>
    </row>
    <row r="214" spans="9:9" x14ac:dyDescent="0.35">
      <c r="I214" s="13"/>
    </row>
    <row r="215" spans="9:9" x14ac:dyDescent="0.35">
      <c r="I215" s="13"/>
    </row>
    <row r="216" spans="9:9" x14ac:dyDescent="0.35">
      <c r="I216" s="13"/>
    </row>
    <row r="217" spans="9:9" x14ac:dyDescent="0.35">
      <c r="I217" s="13"/>
    </row>
    <row r="218" spans="9:9" x14ac:dyDescent="0.35">
      <c r="I218" s="13"/>
    </row>
    <row r="219" spans="9:9" x14ac:dyDescent="0.35">
      <c r="I219" s="13"/>
    </row>
    <row r="220" spans="9:9" x14ac:dyDescent="0.35">
      <c r="I220" s="13"/>
    </row>
    <row r="221" spans="9:9" x14ac:dyDescent="0.35">
      <c r="I221" s="13"/>
    </row>
    <row r="222" spans="9:9" x14ac:dyDescent="0.35">
      <c r="I222" s="13"/>
    </row>
    <row r="223" spans="9:9" x14ac:dyDescent="0.35">
      <c r="I223" s="13"/>
    </row>
    <row r="224" spans="9:9" x14ac:dyDescent="0.35">
      <c r="I224" s="13"/>
    </row>
    <row r="225" spans="9:9" x14ac:dyDescent="0.35">
      <c r="I225" s="13"/>
    </row>
    <row r="226" spans="9:9" x14ac:dyDescent="0.35">
      <c r="I226" s="13"/>
    </row>
    <row r="227" spans="9:9" x14ac:dyDescent="0.35">
      <c r="I227" s="13"/>
    </row>
    <row r="228" spans="9:9" x14ac:dyDescent="0.35">
      <c r="I228" s="13"/>
    </row>
    <row r="229" spans="9:9" x14ac:dyDescent="0.35">
      <c r="I229" s="13"/>
    </row>
    <row r="230" spans="9:9" x14ac:dyDescent="0.35">
      <c r="I230" s="13"/>
    </row>
    <row r="231" spans="9:9" x14ac:dyDescent="0.35">
      <c r="I231" s="13"/>
    </row>
    <row r="232" spans="9:9" x14ac:dyDescent="0.35">
      <c r="I232" s="13"/>
    </row>
    <row r="233" spans="9:9" x14ac:dyDescent="0.35">
      <c r="I233" s="13"/>
    </row>
    <row r="234" spans="9:9" x14ac:dyDescent="0.35">
      <c r="I234" s="13"/>
    </row>
    <row r="235" spans="9:9" x14ac:dyDescent="0.35">
      <c r="I235" s="13"/>
    </row>
    <row r="236" spans="9:9" x14ac:dyDescent="0.35">
      <c r="I236" s="13"/>
    </row>
    <row r="237" spans="9:9" x14ac:dyDescent="0.35">
      <c r="I237" s="13"/>
    </row>
    <row r="238" spans="9:9" x14ac:dyDescent="0.35">
      <c r="I238" s="13"/>
    </row>
    <row r="239" spans="9:9" x14ac:dyDescent="0.35">
      <c r="I239" s="13"/>
    </row>
    <row r="240" spans="9:9" x14ac:dyDescent="0.35">
      <c r="I240" s="13"/>
    </row>
    <row r="241" spans="9:9" x14ac:dyDescent="0.35">
      <c r="I241" s="13"/>
    </row>
    <row r="242" spans="9:9" x14ac:dyDescent="0.35">
      <c r="I242" s="13"/>
    </row>
    <row r="243" spans="9:9" x14ac:dyDescent="0.35">
      <c r="I243" s="13"/>
    </row>
    <row r="244" spans="9:9" x14ac:dyDescent="0.35">
      <c r="I244" s="13"/>
    </row>
    <row r="245" spans="9:9" x14ac:dyDescent="0.35">
      <c r="I245" s="13"/>
    </row>
    <row r="246" spans="9:9" x14ac:dyDescent="0.35">
      <c r="I246" s="13"/>
    </row>
    <row r="247" spans="9:9" x14ac:dyDescent="0.35">
      <c r="I247" s="13"/>
    </row>
    <row r="248" spans="9:9" x14ac:dyDescent="0.35">
      <c r="I248" s="13"/>
    </row>
    <row r="249" spans="9:9" x14ac:dyDescent="0.35">
      <c r="I249" s="13"/>
    </row>
    <row r="250" spans="9:9" x14ac:dyDescent="0.35">
      <c r="I250" s="13"/>
    </row>
    <row r="251" spans="9:9" x14ac:dyDescent="0.35">
      <c r="I251" s="13"/>
    </row>
    <row r="252" spans="9:9" x14ac:dyDescent="0.35">
      <c r="I252" s="13"/>
    </row>
    <row r="253" spans="9:9" x14ac:dyDescent="0.35">
      <c r="I253" s="13"/>
    </row>
    <row r="254" spans="9:9" x14ac:dyDescent="0.35">
      <c r="I254" s="13"/>
    </row>
    <row r="255" spans="9:9" x14ac:dyDescent="0.35">
      <c r="I255" s="13"/>
    </row>
    <row r="256" spans="9:9" x14ac:dyDescent="0.35">
      <c r="I256" s="13"/>
    </row>
    <row r="257" spans="9:9" x14ac:dyDescent="0.35">
      <c r="I257" s="13"/>
    </row>
    <row r="258" spans="9:9" x14ac:dyDescent="0.35">
      <c r="I258" s="13"/>
    </row>
    <row r="259" spans="9:9" x14ac:dyDescent="0.35">
      <c r="I259" s="13"/>
    </row>
    <row r="260" spans="9:9" x14ac:dyDescent="0.35">
      <c r="I260" s="13"/>
    </row>
    <row r="261" spans="9:9" x14ac:dyDescent="0.35">
      <c r="I261" s="13"/>
    </row>
    <row r="262" spans="9:9" x14ac:dyDescent="0.35">
      <c r="I262" s="13"/>
    </row>
    <row r="263" spans="9:9" x14ac:dyDescent="0.35">
      <c r="I263" s="13"/>
    </row>
    <row r="264" spans="9:9" x14ac:dyDescent="0.35">
      <c r="I264" s="13"/>
    </row>
    <row r="265" spans="9:9" x14ac:dyDescent="0.35">
      <c r="I265" s="13"/>
    </row>
    <row r="266" spans="9:9" x14ac:dyDescent="0.35">
      <c r="I266" s="13"/>
    </row>
    <row r="267" spans="9:9" x14ac:dyDescent="0.35">
      <c r="I267" s="13"/>
    </row>
    <row r="268" spans="9:9" x14ac:dyDescent="0.35">
      <c r="I268" s="13"/>
    </row>
    <row r="269" spans="9:9" x14ac:dyDescent="0.35">
      <c r="I269" s="13"/>
    </row>
    <row r="270" spans="9:9" x14ac:dyDescent="0.35">
      <c r="I270" s="13"/>
    </row>
    <row r="271" spans="9:9" x14ac:dyDescent="0.35">
      <c r="I271" s="13"/>
    </row>
    <row r="272" spans="9:9" x14ac:dyDescent="0.35">
      <c r="I272" s="13"/>
    </row>
    <row r="273" spans="9:9" x14ac:dyDescent="0.35">
      <c r="I273" s="13"/>
    </row>
    <row r="274" spans="9:9" x14ac:dyDescent="0.35">
      <c r="I274" s="13"/>
    </row>
    <row r="275" spans="9:9" x14ac:dyDescent="0.35">
      <c r="I275" s="13"/>
    </row>
    <row r="276" spans="9:9" x14ac:dyDescent="0.35">
      <c r="I276" s="13"/>
    </row>
    <row r="277" spans="9:9" x14ac:dyDescent="0.35">
      <c r="I277" s="13"/>
    </row>
    <row r="278" spans="9:9" x14ac:dyDescent="0.35">
      <c r="I278" s="13"/>
    </row>
    <row r="279" spans="9:9" x14ac:dyDescent="0.35">
      <c r="I279" s="13"/>
    </row>
    <row r="280" spans="9:9" x14ac:dyDescent="0.35">
      <c r="I280" s="13"/>
    </row>
    <row r="281" spans="9:9" x14ac:dyDescent="0.35">
      <c r="I281" s="13"/>
    </row>
    <row r="282" spans="9:9" x14ac:dyDescent="0.35">
      <c r="I282" s="13"/>
    </row>
    <row r="283" spans="9:9" x14ac:dyDescent="0.35">
      <c r="I283" s="13"/>
    </row>
    <row r="284" spans="9:9" x14ac:dyDescent="0.35">
      <c r="I284" s="13"/>
    </row>
    <row r="285" spans="9:9" x14ac:dyDescent="0.35">
      <c r="I285" s="13"/>
    </row>
    <row r="286" spans="9:9" x14ac:dyDescent="0.35">
      <c r="I286" s="13"/>
    </row>
    <row r="287" spans="9:9" x14ac:dyDescent="0.35">
      <c r="I287" s="13"/>
    </row>
    <row r="288" spans="9:9" x14ac:dyDescent="0.35">
      <c r="I288" s="13"/>
    </row>
    <row r="289" spans="9:9" x14ac:dyDescent="0.35">
      <c r="I289" s="13"/>
    </row>
    <row r="290" spans="9:9" x14ac:dyDescent="0.35">
      <c r="I290" s="13"/>
    </row>
    <row r="291" spans="9:9" x14ac:dyDescent="0.35">
      <c r="I291" s="13"/>
    </row>
    <row r="292" spans="9:9" x14ac:dyDescent="0.35">
      <c r="I292" s="13"/>
    </row>
    <row r="293" spans="9:9" x14ac:dyDescent="0.35">
      <c r="I293" s="13"/>
    </row>
    <row r="294" spans="9:9" x14ac:dyDescent="0.35">
      <c r="I294" s="13"/>
    </row>
    <row r="295" spans="9:9" x14ac:dyDescent="0.35">
      <c r="I295" s="13"/>
    </row>
    <row r="296" spans="9:9" x14ac:dyDescent="0.35">
      <c r="I296" s="13"/>
    </row>
    <row r="297" spans="9:9" x14ac:dyDescent="0.35">
      <c r="I297" s="13"/>
    </row>
    <row r="298" spans="9:9" x14ac:dyDescent="0.35">
      <c r="I298" s="13"/>
    </row>
    <row r="299" spans="9:9" x14ac:dyDescent="0.35">
      <c r="I299" s="13"/>
    </row>
    <row r="300" spans="9:9" x14ac:dyDescent="0.35">
      <c r="I300" s="13"/>
    </row>
    <row r="301" spans="9:9" x14ac:dyDescent="0.35">
      <c r="I301" s="13"/>
    </row>
    <row r="302" spans="9:9" x14ac:dyDescent="0.35">
      <c r="I302" s="13"/>
    </row>
    <row r="303" spans="9:9" x14ac:dyDescent="0.35">
      <c r="I303" s="13"/>
    </row>
    <row r="304" spans="9:9" x14ac:dyDescent="0.35">
      <c r="I304" s="13"/>
    </row>
    <row r="305" spans="9:9" x14ac:dyDescent="0.35">
      <c r="I305" s="13"/>
    </row>
    <row r="306" spans="9:9" x14ac:dyDescent="0.35">
      <c r="I306" s="13"/>
    </row>
    <row r="307" spans="9:9" x14ac:dyDescent="0.35">
      <c r="I307" s="13"/>
    </row>
    <row r="308" spans="9:9" x14ac:dyDescent="0.35">
      <c r="I308" s="13"/>
    </row>
    <row r="309" spans="9:9" x14ac:dyDescent="0.35">
      <c r="I309" s="13"/>
    </row>
    <row r="310" spans="9:9" x14ac:dyDescent="0.35">
      <c r="I310" s="13"/>
    </row>
    <row r="311" spans="9:9" x14ac:dyDescent="0.35">
      <c r="I311" s="13"/>
    </row>
    <row r="312" spans="9:9" x14ac:dyDescent="0.35">
      <c r="I312" s="13"/>
    </row>
    <row r="313" spans="9:9" x14ac:dyDescent="0.35">
      <c r="I313" s="13"/>
    </row>
    <row r="314" spans="9:9" x14ac:dyDescent="0.35">
      <c r="I314" s="13"/>
    </row>
    <row r="315" spans="9:9" x14ac:dyDescent="0.35">
      <c r="I315" s="13"/>
    </row>
    <row r="316" spans="9:9" x14ac:dyDescent="0.35">
      <c r="I316" s="13"/>
    </row>
    <row r="317" spans="9:9" x14ac:dyDescent="0.35">
      <c r="I317" s="13"/>
    </row>
    <row r="318" spans="9:9" x14ac:dyDescent="0.35">
      <c r="I318" s="13"/>
    </row>
    <row r="319" spans="9:9" x14ac:dyDescent="0.35">
      <c r="I319" s="13"/>
    </row>
    <row r="320" spans="9:9" x14ac:dyDescent="0.35">
      <c r="I320" s="13"/>
    </row>
    <row r="321" spans="9:9" x14ac:dyDescent="0.35">
      <c r="I321" s="13"/>
    </row>
    <row r="322" spans="9:9" x14ac:dyDescent="0.35">
      <c r="I322" s="13"/>
    </row>
    <row r="323" spans="9:9" x14ac:dyDescent="0.35">
      <c r="I323" s="13"/>
    </row>
    <row r="324" spans="9:9" x14ac:dyDescent="0.35">
      <c r="I324" s="13"/>
    </row>
    <row r="325" spans="9:9" x14ac:dyDescent="0.35">
      <c r="I325" s="13"/>
    </row>
    <row r="326" spans="9:9" x14ac:dyDescent="0.35">
      <c r="I326" s="13"/>
    </row>
    <row r="327" spans="9:9" x14ac:dyDescent="0.35">
      <c r="I327" s="13"/>
    </row>
    <row r="328" spans="9:9" x14ac:dyDescent="0.35">
      <c r="I328" s="13"/>
    </row>
    <row r="329" spans="9:9" x14ac:dyDescent="0.35">
      <c r="I329" s="13"/>
    </row>
    <row r="330" spans="9:9" x14ac:dyDescent="0.35">
      <c r="I330" s="13"/>
    </row>
    <row r="331" spans="9:9" x14ac:dyDescent="0.35">
      <c r="I331" s="13"/>
    </row>
    <row r="332" spans="9:9" x14ac:dyDescent="0.35">
      <c r="I332" s="13"/>
    </row>
    <row r="333" spans="9:9" x14ac:dyDescent="0.35">
      <c r="I333" s="13"/>
    </row>
    <row r="334" spans="9:9" x14ac:dyDescent="0.35">
      <c r="I334" s="13"/>
    </row>
    <row r="335" spans="9:9" x14ac:dyDescent="0.35">
      <c r="I335" s="13"/>
    </row>
    <row r="336" spans="9:9" x14ac:dyDescent="0.35">
      <c r="I336" s="13"/>
    </row>
    <row r="337" spans="9:9" x14ac:dyDescent="0.35">
      <c r="I337" s="13"/>
    </row>
    <row r="338" spans="9:9" x14ac:dyDescent="0.35">
      <c r="I338" s="13"/>
    </row>
    <row r="339" spans="9:9" x14ac:dyDescent="0.35">
      <c r="I339" s="13"/>
    </row>
    <row r="340" spans="9:9" x14ac:dyDescent="0.35">
      <c r="I340" s="13"/>
    </row>
    <row r="341" spans="9:9" x14ac:dyDescent="0.35">
      <c r="I341" s="13"/>
    </row>
    <row r="342" spans="9:9" x14ac:dyDescent="0.35">
      <c r="I342" s="13"/>
    </row>
    <row r="343" spans="9:9" x14ac:dyDescent="0.35">
      <c r="I343" s="13"/>
    </row>
    <row r="344" spans="9:9" x14ac:dyDescent="0.35">
      <c r="I344" s="13"/>
    </row>
    <row r="345" spans="9:9" x14ac:dyDescent="0.35">
      <c r="I345" s="13"/>
    </row>
    <row r="346" spans="9:9" x14ac:dyDescent="0.35">
      <c r="I346" s="13"/>
    </row>
    <row r="347" spans="9:9" x14ac:dyDescent="0.35">
      <c r="I347" s="13"/>
    </row>
    <row r="348" spans="9:9" x14ac:dyDescent="0.35">
      <c r="I348" s="13"/>
    </row>
    <row r="349" spans="9:9" x14ac:dyDescent="0.35">
      <c r="I349" s="13"/>
    </row>
    <row r="350" spans="9:9" x14ac:dyDescent="0.35">
      <c r="I350" s="13"/>
    </row>
    <row r="351" spans="9:9" x14ac:dyDescent="0.35">
      <c r="I351" s="13"/>
    </row>
    <row r="352" spans="9:9" x14ac:dyDescent="0.35">
      <c r="I352" s="13"/>
    </row>
    <row r="353" spans="9:9" x14ac:dyDescent="0.35">
      <c r="I353" s="13"/>
    </row>
    <row r="354" spans="9:9" x14ac:dyDescent="0.35">
      <c r="I354" s="13"/>
    </row>
    <row r="355" spans="9:9" x14ac:dyDescent="0.35">
      <c r="I355" s="13"/>
    </row>
    <row r="356" spans="9:9" x14ac:dyDescent="0.35">
      <c r="I356" s="13"/>
    </row>
    <row r="357" spans="9:9" x14ac:dyDescent="0.35">
      <c r="I357" s="13"/>
    </row>
    <row r="358" spans="9:9" x14ac:dyDescent="0.35">
      <c r="I358" s="13"/>
    </row>
    <row r="359" spans="9:9" x14ac:dyDescent="0.35">
      <c r="I359" s="13"/>
    </row>
    <row r="360" spans="9:9" x14ac:dyDescent="0.35">
      <c r="I360" s="13"/>
    </row>
    <row r="361" spans="9:9" x14ac:dyDescent="0.35">
      <c r="I361" s="13"/>
    </row>
    <row r="362" spans="9:9" x14ac:dyDescent="0.35">
      <c r="I362" s="13"/>
    </row>
    <row r="363" spans="9:9" x14ac:dyDescent="0.35">
      <c r="I363" s="13"/>
    </row>
    <row r="364" spans="9:9" x14ac:dyDescent="0.35">
      <c r="I364" s="13"/>
    </row>
    <row r="365" spans="9:9" x14ac:dyDescent="0.35">
      <c r="I365" s="13"/>
    </row>
    <row r="366" spans="9:9" x14ac:dyDescent="0.35">
      <c r="I366" s="13"/>
    </row>
    <row r="367" spans="9:9" x14ac:dyDescent="0.35">
      <c r="I367" s="13"/>
    </row>
    <row r="368" spans="9:9" x14ac:dyDescent="0.35">
      <c r="I368" s="13"/>
    </row>
    <row r="369" spans="9:9" x14ac:dyDescent="0.35">
      <c r="I369" s="13"/>
    </row>
    <row r="370" spans="9:9" x14ac:dyDescent="0.35">
      <c r="I370" s="13"/>
    </row>
    <row r="371" spans="9:9" x14ac:dyDescent="0.35">
      <c r="I371" s="13"/>
    </row>
    <row r="372" spans="9:9" x14ac:dyDescent="0.35">
      <c r="I372" s="13"/>
    </row>
    <row r="373" spans="9:9" x14ac:dyDescent="0.35">
      <c r="I373" s="13"/>
    </row>
    <row r="374" spans="9:9" x14ac:dyDescent="0.35">
      <c r="I374" s="13"/>
    </row>
    <row r="375" spans="9:9" x14ac:dyDescent="0.35">
      <c r="I375" s="13"/>
    </row>
    <row r="376" spans="9:9" x14ac:dyDescent="0.35">
      <c r="I376" s="13"/>
    </row>
    <row r="377" spans="9:9" x14ac:dyDescent="0.35">
      <c r="I377" s="13"/>
    </row>
    <row r="378" spans="9:9" x14ac:dyDescent="0.35">
      <c r="I378" s="13"/>
    </row>
    <row r="379" spans="9:9" x14ac:dyDescent="0.35">
      <c r="I379" s="13"/>
    </row>
    <row r="380" spans="9:9" x14ac:dyDescent="0.35">
      <c r="I380" s="13"/>
    </row>
    <row r="381" spans="9:9" x14ac:dyDescent="0.35">
      <c r="I381" s="13"/>
    </row>
    <row r="382" spans="9:9" x14ac:dyDescent="0.35">
      <c r="I382" s="13"/>
    </row>
    <row r="383" spans="9:9" x14ac:dyDescent="0.35">
      <c r="I383" s="13"/>
    </row>
    <row r="384" spans="9:9" x14ac:dyDescent="0.35">
      <c r="I384" s="13"/>
    </row>
    <row r="385" spans="9:9" x14ac:dyDescent="0.35">
      <c r="I385" s="13"/>
    </row>
    <row r="386" spans="9:9" x14ac:dyDescent="0.35">
      <c r="I386" s="13"/>
    </row>
    <row r="387" spans="9:9" x14ac:dyDescent="0.35">
      <c r="I387" s="13"/>
    </row>
    <row r="388" spans="9:9" x14ac:dyDescent="0.35">
      <c r="I388" s="13"/>
    </row>
    <row r="389" spans="9:9" x14ac:dyDescent="0.35">
      <c r="I389" s="13"/>
    </row>
    <row r="390" spans="9:9" x14ac:dyDescent="0.35">
      <c r="I390" s="13"/>
    </row>
    <row r="391" spans="9:9" x14ac:dyDescent="0.35">
      <c r="I391" s="13"/>
    </row>
    <row r="392" spans="9:9" x14ac:dyDescent="0.35">
      <c r="I392" s="13"/>
    </row>
    <row r="393" spans="9:9" x14ac:dyDescent="0.35">
      <c r="I393" s="13"/>
    </row>
    <row r="394" spans="9:9" x14ac:dyDescent="0.35">
      <c r="I394" s="13"/>
    </row>
    <row r="395" spans="9:9" x14ac:dyDescent="0.35">
      <c r="I395" s="13"/>
    </row>
    <row r="396" spans="9:9" x14ac:dyDescent="0.35">
      <c r="I396" s="13"/>
    </row>
    <row r="397" spans="9:9" x14ac:dyDescent="0.35">
      <c r="I397" s="13"/>
    </row>
    <row r="398" spans="9:9" x14ac:dyDescent="0.35">
      <c r="I398" s="13"/>
    </row>
    <row r="399" spans="9:9" x14ac:dyDescent="0.35">
      <c r="I399" s="13"/>
    </row>
    <row r="400" spans="9:9" x14ac:dyDescent="0.35">
      <c r="I400" s="13"/>
    </row>
    <row r="401" spans="9:9" x14ac:dyDescent="0.35">
      <c r="I401" s="13"/>
    </row>
    <row r="402" spans="9:9" x14ac:dyDescent="0.35">
      <c r="I402" s="13"/>
    </row>
    <row r="403" spans="9:9" x14ac:dyDescent="0.35">
      <c r="I403" s="13"/>
    </row>
    <row r="404" spans="9:9" x14ac:dyDescent="0.35">
      <c r="I404" s="13"/>
    </row>
    <row r="405" spans="9:9" x14ac:dyDescent="0.35">
      <c r="I405" s="13"/>
    </row>
    <row r="406" spans="9:9" x14ac:dyDescent="0.35">
      <c r="I406" s="13"/>
    </row>
    <row r="407" spans="9:9" x14ac:dyDescent="0.35">
      <c r="I407" s="13"/>
    </row>
    <row r="408" spans="9:9" x14ac:dyDescent="0.35">
      <c r="I408" s="13"/>
    </row>
    <row r="409" spans="9:9" x14ac:dyDescent="0.35">
      <c r="I409" s="13"/>
    </row>
    <row r="410" spans="9:9" x14ac:dyDescent="0.35">
      <c r="I410" s="13"/>
    </row>
    <row r="411" spans="9:9" x14ac:dyDescent="0.35">
      <c r="I411" s="13"/>
    </row>
    <row r="412" spans="9:9" x14ac:dyDescent="0.35">
      <c r="I412" s="13"/>
    </row>
    <row r="413" spans="9:9" x14ac:dyDescent="0.35">
      <c r="I413" s="13"/>
    </row>
    <row r="414" spans="9:9" x14ac:dyDescent="0.35">
      <c r="I414" s="13"/>
    </row>
    <row r="415" spans="9:9" x14ac:dyDescent="0.35">
      <c r="I415" s="13"/>
    </row>
    <row r="416" spans="9:9" x14ac:dyDescent="0.35">
      <c r="I416" s="13"/>
    </row>
    <row r="417" spans="9:9" x14ac:dyDescent="0.35">
      <c r="I417" s="13"/>
    </row>
    <row r="418" spans="9:9" x14ac:dyDescent="0.35">
      <c r="I418" s="13"/>
    </row>
    <row r="419" spans="9:9" x14ac:dyDescent="0.35">
      <c r="I419" s="13"/>
    </row>
    <row r="420" spans="9:9" x14ac:dyDescent="0.35">
      <c r="I420" s="13"/>
    </row>
    <row r="421" spans="9:9" x14ac:dyDescent="0.35">
      <c r="I421" s="13"/>
    </row>
    <row r="422" spans="9:9" x14ac:dyDescent="0.35">
      <c r="I422" s="13"/>
    </row>
    <row r="423" spans="9:9" x14ac:dyDescent="0.35">
      <c r="I423" s="13"/>
    </row>
    <row r="424" spans="9:9" x14ac:dyDescent="0.35">
      <c r="I424" s="13"/>
    </row>
    <row r="425" spans="9:9" x14ac:dyDescent="0.35">
      <c r="I425" s="13"/>
    </row>
    <row r="426" spans="9:9" x14ac:dyDescent="0.35">
      <c r="I426" s="13"/>
    </row>
    <row r="427" spans="9:9" x14ac:dyDescent="0.35">
      <c r="I427" s="13"/>
    </row>
    <row r="428" spans="9:9" x14ac:dyDescent="0.35">
      <c r="I428" s="13"/>
    </row>
    <row r="429" spans="9:9" x14ac:dyDescent="0.35">
      <c r="I429" s="13"/>
    </row>
    <row r="430" spans="9:9" x14ac:dyDescent="0.35">
      <c r="I430" s="13"/>
    </row>
    <row r="431" spans="9:9" x14ac:dyDescent="0.35">
      <c r="I431" s="13"/>
    </row>
    <row r="432" spans="9:9" x14ac:dyDescent="0.35">
      <c r="I432" s="13"/>
    </row>
    <row r="433" spans="9:9" x14ac:dyDescent="0.35">
      <c r="I433" s="13"/>
    </row>
    <row r="434" spans="9:9" x14ac:dyDescent="0.35">
      <c r="I434" s="13"/>
    </row>
    <row r="435" spans="9:9" x14ac:dyDescent="0.35">
      <c r="I435" s="13"/>
    </row>
    <row r="436" spans="9:9" x14ac:dyDescent="0.35">
      <c r="I436" s="13"/>
    </row>
    <row r="437" spans="9:9" x14ac:dyDescent="0.35">
      <c r="I437" s="13"/>
    </row>
    <row r="438" spans="9:9" x14ac:dyDescent="0.35">
      <c r="I438" s="13"/>
    </row>
    <row r="439" spans="9:9" x14ac:dyDescent="0.35">
      <c r="I439" s="13"/>
    </row>
    <row r="440" spans="9:9" x14ac:dyDescent="0.35">
      <c r="I440" s="13"/>
    </row>
    <row r="441" spans="9:9" x14ac:dyDescent="0.35">
      <c r="I441" s="13"/>
    </row>
    <row r="442" spans="9:9" x14ac:dyDescent="0.35">
      <c r="I442" s="13"/>
    </row>
    <row r="443" spans="9:9" x14ac:dyDescent="0.35">
      <c r="I443" s="13"/>
    </row>
    <row r="444" spans="9:9" x14ac:dyDescent="0.35">
      <c r="I444" s="13"/>
    </row>
    <row r="445" spans="9:9" x14ac:dyDescent="0.35">
      <c r="I445" s="13"/>
    </row>
    <row r="446" spans="9:9" x14ac:dyDescent="0.35">
      <c r="I446" s="13"/>
    </row>
    <row r="447" spans="9:9" x14ac:dyDescent="0.35">
      <c r="I447" s="13"/>
    </row>
    <row r="448" spans="9:9" x14ac:dyDescent="0.35">
      <c r="I448" s="13"/>
    </row>
    <row r="449" spans="9:9" x14ac:dyDescent="0.35">
      <c r="I449" s="13"/>
    </row>
    <row r="450" spans="9:9" x14ac:dyDescent="0.35">
      <c r="I450" s="13"/>
    </row>
    <row r="451" spans="9:9" x14ac:dyDescent="0.35">
      <c r="I451" s="13"/>
    </row>
    <row r="452" spans="9:9" x14ac:dyDescent="0.35">
      <c r="I452" s="13"/>
    </row>
    <row r="453" spans="9:9" x14ac:dyDescent="0.35">
      <c r="I453" s="13"/>
    </row>
    <row r="454" spans="9:9" x14ac:dyDescent="0.35">
      <c r="I454" s="13"/>
    </row>
    <row r="455" spans="9:9" x14ac:dyDescent="0.35">
      <c r="I455" s="13"/>
    </row>
    <row r="456" spans="9:9" x14ac:dyDescent="0.35">
      <c r="I456" s="13"/>
    </row>
    <row r="457" spans="9:9" x14ac:dyDescent="0.35">
      <c r="I457" s="13"/>
    </row>
    <row r="458" spans="9:9" x14ac:dyDescent="0.35">
      <c r="I458" s="13"/>
    </row>
    <row r="459" spans="9:9" x14ac:dyDescent="0.35">
      <c r="I459" s="13"/>
    </row>
    <row r="460" spans="9:9" x14ac:dyDescent="0.35">
      <c r="I460" s="13"/>
    </row>
    <row r="461" spans="9:9" x14ac:dyDescent="0.35">
      <c r="I461" s="13"/>
    </row>
    <row r="462" spans="9:9" x14ac:dyDescent="0.35">
      <c r="I462" s="13"/>
    </row>
    <row r="463" spans="9:9" x14ac:dyDescent="0.35">
      <c r="I463" s="13"/>
    </row>
    <row r="464" spans="9:9" x14ac:dyDescent="0.35">
      <c r="I464" s="13"/>
    </row>
    <row r="465" spans="9:9" x14ac:dyDescent="0.35">
      <c r="I465" s="13"/>
    </row>
    <row r="466" spans="9:9" x14ac:dyDescent="0.35">
      <c r="I466" s="13"/>
    </row>
    <row r="467" spans="9:9" x14ac:dyDescent="0.35">
      <c r="I467" s="13"/>
    </row>
    <row r="468" spans="9:9" x14ac:dyDescent="0.35">
      <c r="I468" s="13"/>
    </row>
    <row r="469" spans="9:9" x14ac:dyDescent="0.35">
      <c r="I469" s="13"/>
    </row>
    <row r="470" spans="9:9" x14ac:dyDescent="0.35">
      <c r="I470" s="13"/>
    </row>
    <row r="471" spans="9:9" x14ac:dyDescent="0.35">
      <c r="I471" s="13"/>
    </row>
    <row r="472" spans="9:9" x14ac:dyDescent="0.35">
      <c r="I472" s="13"/>
    </row>
    <row r="473" spans="9:9" x14ac:dyDescent="0.35">
      <c r="I473" s="13"/>
    </row>
    <row r="474" spans="9:9" x14ac:dyDescent="0.35">
      <c r="I474" s="13"/>
    </row>
    <row r="475" spans="9:9" x14ac:dyDescent="0.35">
      <c r="I475" s="13"/>
    </row>
    <row r="476" spans="9:9" x14ac:dyDescent="0.35">
      <c r="I476" s="13"/>
    </row>
    <row r="477" spans="9:9" x14ac:dyDescent="0.35">
      <c r="I477" s="13"/>
    </row>
    <row r="478" spans="9:9" x14ac:dyDescent="0.35">
      <c r="I478" s="13"/>
    </row>
    <row r="479" spans="9:9" x14ac:dyDescent="0.35">
      <c r="I479" s="13"/>
    </row>
    <row r="480" spans="9:9" x14ac:dyDescent="0.35">
      <c r="I480" s="13"/>
    </row>
    <row r="481" spans="9:9" x14ac:dyDescent="0.35">
      <c r="I481" s="13"/>
    </row>
    <row r="482" spans="9:9" x14ac:dyDescent="0.35">
      <c r="I482" s="13"/>
    </row>
    <row r="483" spans="9:9" x14ac:dyDescent="0.35">
      <c r="I483" s="13"/>
    </row>
    <row r="484" spans="9:9" x14ac:dyDescent="0.35">
      <c r="I484" s="13"/>
    </row>
    <row r="485" spans="9:9" x14ac:dyDescent="0.35">
      <c r="I485" s="13"/>
    </row>
    <row r="486" spans="9:9" x14ac:dyDescent="0.35">
      <c r="I486" s="13"/>
    </row>
    <row r="487" spans="9:9" x14ac:dyDescent="0.35">
      <c r="I487" s="13"/>
    </row>
    <row r="488" spans="9:9" x14ac:dyDescent="0.35">
      <c r="I488" s="13"/>
    </row>
    <row r="489" spans="9:9" x14ac:dyDescent="0.35">
      <c r="I489" s="13"/>
    </row>
    <row r="490" spans="9:9" x14ac:dyDescent="0.35">
      <c r="I490" s="13"/>
    </row>
    <row r="491" spans="9:9" x14ac:dyDescent="0.35">
      <c r="I491" s="13"/>
    </row>
    <row r="492" spans="9:9" x14ac:dyDescent="0.35">
      <c r="I492" s="13"/>
    </row>
    <row r="493" spans="9:9" x14ac:dyDescent="0.35">
      <c r="I493" s="13"/>
    </row>
    <row r="494" spans="9:9" x14ac:dyDescent="0.35">
      <c r="I494" s="13"/>
    </row>
    <row r="495" spans="9:9" x14ac:dyDescent="0.35">
      <c r="I495" s="13"/>
    </row>
    <row r="496" spans="9:9" x14ac:dyDescent="0.35">
      <c r="I496" s="13"/>
    </row>
    <row r="497" spans="9:9" x14ac:dyDescent="0.35">
      <c r="I497" s="13"/>
    </row>
    <row r="498" spans="9:9" x14ac:dyDescent="0.35">
      <c r="I498" s="13"/>
    </row>
    <row r="499" spans="9:9" x14ac:dyDescent="0.35">
      <c r="I499" s="13"/>
    </row>
    <row r="500" spans="9:9" x14ac:dyDescent="0.35">
      <c r="I500" s="13"/>
    </row>
    <row r="501" spans="9:9" x14ac:dyDescent="0.35">
      <c r="I501" s="13"/>
    </row>
    <row r="502" spans="9:9" x14ac:dyDescent="0.35">
      <c r="I502" s="13"/>
    </row>
    <row r="503" spans="9:9" x14ac:dyDescent="0.35">
      <c r="I503" s="13"/>
    </row>
    <row r="504" spans="9:9" x14ac:dyDescent="0.35">
      <c r="I504" s="13"/>
    </row>
    <row r="505" spans="9:9" x14ac:dyDescent="0.35">
      <c r="I505" s="13"/>
    </row>
    <row r="506" spans="9:9" x14ac:dyDescent="0.35">
      <c r="I506" s="13"/>
    </row>
    <row r="507" spans="9:9" x14ac:dyDescent="0.35">
      <c r="I507" s="13"/>
    </row>
    <row r="508" spans="9:9" x14ac:dyDescent="0.35">
      <c r="I508" s="13"/>
    </row>
    <row r="509" spans="9:9" x14ac:dyDescent="0.35">
      <c r="I509" s="13"/>
    </row>
    <row r="510" spans="9:9" x14ac:dyDescent="0.35">
      <c r="I510" s="13"/>
    </row>
    <row r="511" spans="9:9" x14ac:dyDescent="0.35">
      <c r="I511" s="13"/>
    </row>
    <row r="512" spans="9:9" x14ac:dyDescent="0.35">
      <c r="I512" s="13"/>
    </row>
    <row r="513" spans="9:9" x14ac:dyDescent="0.35">
      <c r="I513" s="13"/>
    </row>
    <row r="514" spans="9:9" x14ac:dyDescent="0.35">
      <c r="I514" s="13"/>
    </row>
    <row r="515" spans="9:9" x14ac:dyDescent="0.35">
      <c r="I515" s="13"/>
    </row>
    <row r="516" spans="9:9" x14ac:dyDescent="0.35">
      <c r="I516" s="13"/>
    </row>
    <row r="517" spans="9:9" x14ac:dyDescent="0.35">
      <c r="I517" s="13"/>
    </row>
    <row r="518" spans="9:9" x14ac:dyDescent="0.35">
      <c r="I518" s="13"/>
    </row>
    <row r="519" spans="9:9" x14ac:dyDescent="0.35">
      <c r="I519" s="13"/>
    </row>
    <row r="520" spans="9:9" x14ac:dyDescent="0.35">
      <c r="I520" s="13"/>
    </row>
    <row r="521" spans="9:9" x14ac:dyDescent="0.35">
      <c r="I521" s="13"/>
    </row>
    <row r="522" spans="9:9" x14ac:dyDescent="0.35">
      <c r="I522" s="13"/>
    </row>
    <row r="523" spans="9:9" x14ac:dyDescent="0.35">
      <c r="I523" s="13"/>
    </row>
    <row r="524" spans="9:9" x14ac:dyDescent="0.35">
      <c r="I524" s="13"/>
    </row>
    <row r="525" spans="9:9" x14ac:dyDescent="0.35">
      <c r="I525" s="13"/>
    </row>
    <row r="526" spans="9:9" x14ac:dyDescent="0.35">
      <c r="I526" s="13"/>
    </row>
    <row r="527" spans="9:9" x14ac:dyDescent="0.35">
      <c r="I527" s="13"/>
    </row>
    <row r="528" spans="9:9" x14ac:dyDescent="0.35">
      <c r="I528" s="13"/>
    </row>
    <row r="529" spans="9:9" x14ac:dyDescent="0.35">
      <c r="I529" s="13"/>
    </row>
    <row r="530" spans="9:9" x14ac:dyDescent="0.35">
      <c r="I530" s="13"/>
    </row>
    <row r="531" spans="9:9" x14ac:dyDescent="0.35">
      <c r="I531" s="13"/>
    </row>
    <row r="532" spans="9:9" x14ac:dyDescent="0.35">
      <c r="I532" s="13"/>
    </row>
    <row r="533" spans="9:9" x14ac:dyDescent="0.35">
      <c r="I533" s="13"/>
    </row>
    <row r="534" spans="9:9" x14ac:dyDescent="0.35">
      <c r="I534" s="13"/>
    </row>
    <row r="535" spans="9:9" x14ac:dyDescent="0.35">
      <c r="I535" s="13"/>
    </row>
    <row r="536" spans="9:9" x14ac:dyDescent="0.35">
      <c r="I536" s="13"/>
    </row>
    <row r="537" spans="9:9" x14ac:dyDescent="0.35">
      <c r="I537" s="13"/>
    </row>
    <row r="538" spans="9:9" x14ac:dyDescent="0.35">
      <c r="I538" s="13"/>
    </row>
    <row r="539" spans="9:9" x14ac:dyDescent="0.35">
      <c r="I539" s="13"/>
    </row>
    <row r="540" spans="9:9" x14ac:dyDescent="0.35">
      <c r="I540" s="13"/>
    </row>
    <row r="541" spans="9:9" x14ac:dyDescent="0.35">
      <c r="I541" s="13"/>
    </row>
    <row r="542" spans="9:9" x14ac:dyDescent="0.35">
      <c r="I542" s="13"/>
    </row>
    <row r="543" spans="9:9" x14ac:dyDescent="0.35">
      <c r="I543" s="13"/>
    </row>
    <row r="544" spans="9:9" x14ac:dyDescent="0.35">
      <c r="I544" s="13"/>
    </row>
    <row r="545" spans="9:9" x14ac:dyDescent="0.35">
      <c r="I545" s="13"/>
    </row>
    <row r="546" spans="9:9" x14ac:dyDescent="0.35">
      <c r="I546" s="13"/>
    </row>
    <row r="547" spans="9:9" x14ac:dyDescent="0.35">
      <c r="I547" s="13"/>
    </row>
    <row r="548" spans="9:9" x14ac:dyDescent="0.35">
      <c r="I548" s="13"/>
    </row>
    <row r="549" spans="9:9" x14ac:dyDescent="0.35">
      <c r="I549" s="13"/>
    </row>
    <row r="550" spans="9:9" x14ac:dyDescent="0.35">
      <c r="I550" s="13"/>
    </row>
    <row r="551" spans="9:9" x14ac:dyDescent="0.35">
      <c r="I551" s="13"/>
    </row>
    <row r="552" spans="9:9" x14ac:dyDescent="0.35">
      <c r="I552" s="13"/>
    </row>
    <row r="553" spans="9:9" x14ac:dyDescent="0.35">
      <c r="I553" s="13"/>
    </row>
    <row r="554" spans="9:9" x14ac:dyDescent="0.35">
      <c r="I554" s="13"/>
    </row>
    <row r="555" spans="9:9" x14ac:dyDescent="0.35">
      <c r="I555" s="13"/>
    </row>
    <row r="556" spans="9:9" x14ac:dyDescent="0.35">
      <c r="I556" s="13"/>
    </row>
    <row r="557" spans="9:9" x14ac:dyDescent="0.35">
      <c r="I557" s="13"/>
    </row>
    <row r="558" spans="9:9" x14ac:dyDescent="0.35">
      <c r="I558" s="13"/>
    </row>
    <row r="559" spans="9:9" x14ac:dyDescent="0.35">
      <c r="I559" s="13"/>
    </row>
    <row r="560" spans="9:9" x14ac:dyDescent="0.35">
      <c r="I560" s="13"/>
    </row>
    <row r="561" spans="9:9" x14ac:dyDescent="0.35">
      <c r="I561" s="13"/>
    </row>
    <row r="562" spans="9:9" x14ac:dyDescent="0.35">
      <c r="I562" s="13"/>
    </row>
    <row r="563" spans="9:9" x14ac:dyDescent="0.35">
      <c r="I563" s="13"/>
    </row>
    <row r="564" spans="9:9" x14ac:dyDescent="0.35">
      <c r="I564" s="13"/>
    </row>
    <row r="565" spans="9:9" x14ac:dyDescent="0.35">
      <c r="I565" s="13"/>
    </row>
    <row r="566" spans="9:9" x14ac:dyDescent="0.35">
      <c r="I566" s="13"/>
    </row>
    <row r="567" spans="9:9" x14ac:dyDescent="0.35">
      <c r="I567" s="13"/>
    </row>
    <row r="568" spans="9:9" x14ac:dyDescent="0.35">
      <c r="I568" s="13"/>
    </row>
    <row r="569" spans="9:9" x14ac:dyDescent="0.35">
      <c r="I569" s="13"/>
    </row>
    <row r="570" spans="9:9" x14ac:dyDescent="0.35">
      <c r="I570" s="13"/>
    </row>
    <row r="571" spans="9:9" x14ac:dyDescent="0.35">
      <c r="I571" s="13"/>
    </row>
    <row r="572" spans="9:9" x14ac:dyDescent="0.35">
      <c r="I572" s="13"/>
    </row>
    <row r="573" spans="9:9" x14ac:dyDescent="0.35">
      <c r="I573" s="13"/>
    </row>
    <row r="574" spans="9:9" x14ac:dyDescent="0.35">
      <c r="I574" s="13"/>
    </row>
    <row r="575" spans="9:9" x14ac:dyDescent="0.35">
      <c r="I575" s="13"/>
    </row>
    <row r="576" spans="9:9" x14ac:dyDescent="0.35">
      <c r="I576" s="13"/>
    </row>
    <row r="577" spans="9:9" x14ac:dyDescent="0.35">
      <c r="I577" s="13"/>
    </row>
    <row r="578" spans="9:9" x14ac:dyDescent="0.35">
      <c r="I578" s="13"/>
    </row>
    <row r="579" spans="9:9" x14ac:dyDescent="0.35">
      <c r="I579" s="13"/>
    </row>
    <row r="580" spans="9:9" x14ac:dyDescent="0.35">
      <c r="I580" s="13"/>
    </row>
    <row r="581" spans="9:9" x14ac:dyDescent="0.35">
      <c r="I581" s="13"/>
    </row>
    <row r="582" spans="9:9" x14ac:dyDescent="0.35">
      <c r="I582" s="13"/>
    </row>
    <row r="583" spans="9:9" x14ac:dyDescent="0.35">
      <c r="I583" s="13"/>
    </row>
    <row r="584" spans="9:9" x14ac:dyDescent="0.35">
      <c r="I584" s="13"/>
    </row>
    <row r="585" spans="9:9" x14ac:dyDescent="0.35">
      <c r="I585" s="13"/>
    </row>
    <row r="586" spans="9:9" x14ac:dyDescent="0.35">
      <c r="I586" s="13"/>
    </row>
    <row r="587" spans="9:9" x14ac:dyDescent="0.35">
      <c r="I587" s="13"/>
    </row>
    <row r="588" spans="9:9" x14ac:dyDescent="0.35">
      <c r="I588" s="13"/>
    </row>
    <row r="589" spans="9:9" x14ac:dyDescent="0.35">
      <c r="I589" s="13"/>
    </row>
    <row r="590" spans="9:9" x14ac:dyDescent="0.35">
      <c r="I590" s="13"/>
    </row>
    <row r="591" spans="9:9" x14ac:dyDescent="0.35">
      <c r="I591" s="13"/>
    </row>
    <row r="592" spans="9:9" x14ac:dyDescent="0.35">
      <c r="I592" s="13"/>
    </row>
    <row r="593" spans="9:9" x14ac:dyDescent="0.35">
      <c r="I593" s="13"/>
    </row>
    <row r="594" spans="9:9" x14ac:dyDescent="0.35">
      <c r="I594" s="13"/>
    </row>
    <row r="595" spans="9:9" x14ac:dyDescent="0.35">
      <c r="I595" s="13"/>
    </row>
    <row r="596" spans="9:9" x14ac:dyDescent="0.35">
      <c r="I596" s="13"/>
    </row>
    <row r="597" spans="9:9" x14ac:dyDescent="0.35">
      <c r="I597" s="13"/>
    </row>
    <row r="598" spans="9:9" x14ac:dyDescent="0.35">
      <c r="I598" s="13"/>
    </row>
    <row r="599" spans="9:9" x14ac:dyDescent="0.35">
      <c r="I599" s="13"/>
    </row>
    <row r="600" spans="9:9" x14ac:dyDescent="0.35">
      <c r="I600" s="13"/>
    </row>
    <row r="601" spans="9:9" x14ac:dyDescent="0.35">
      <c r="I601" s="13"/>
    </row>
    <row r="602" spans="9:9" x14ac:dyDescent="0.35">
      <c r="I602" s="13"/>
    </row>
    <row r="603" spans="9:9" x14ac:dyDescent="0.35">
      <c r="I603" s="13"/>
    </row>
    <row r="604" spans="9:9" x14ac:dyDescent="0.35">
      <c r="I604" s="13"/>
    </row>
    <row r="605" spans="9:9" x14ac:dyDescent="0.35">
      <c r="I605" s="13"/>
    </row>
    <row r="606" spans="9:9" x14ac:dyDescent="0.35">
      <c r="I606" s="13"/>
    </row>
    <row r="607" spans="9:9" x14ac:dyDescent="0.35">
      <c r="I607" s="13"/>
    </row>
    <row r="608" spans="9:9" x14ac:dyDescent="0.35">
      <c r="I608" s="13"/>
    </row>
    <row r="609" spans="9:9" x14ac:dyDescent="0.35">
      <c r="I609" s="13"/>
    </row>
    <row r="610" spans="9:9" x14ac:dyDescent="0.35">
      <c r="I610" s="13"/>
    </row>
    <row r="611" spans="9:9" x14ac:dyDescent="0.35">
      <c r="I611" s="13"/>
    </row>
    <row r="612" spans="9:9" x14ac:dyDescent="0.35">
      <c r="I612" s="13"/>
    </row>
    <row r="613" spans="9:9" x14ac:dyDescent="0.35">
      <c r="I613" s="13"/>
    </row>
    <row r="614" spans="9:9" x14ac:dyDescent="0.35">
      <c r="I614" s="13"/>
    </row>
    <row r="615" spans="9:9" x14ac:dyDescent="0.35">
      <c r="I615" s="13"/>
    </row>
    <row r="616" spans="9:9" x14ac:dyDescent="0.35">
      <c r="I616" s="13"/>
    </row>
    <row r="617" spans="9:9" x14ac:dyDescent="0.35">
      <c r="I617" s="13"/>
    </row>
    <row r="618" spans="9:9" x14ac:dyDescent="0.35">
      <c r="I618" s="13"/>
    </row>
    <row r="619" spans="9:9" x14ac:dyDescent="0.35">
      <c r="I619" s="13"/>
    </row>
    <row r="620" spans="9:9" x14ac:dyDescent="0.35">
      <c r="I620" s="13"/>
    </row>
    <row r="621" spans="9:9" x14ac:dyDescent="0.35">
      <c r="I621" s="13"/>
    </row>
    <row r="622" spans="9:9" x14ac:dyDescent="0.35">
      <c r="I622" s="13"/>
    </row>
    <row r="623" spans="9:9" x14ac:dyDescent="0.35">
      <c r="I623" s="13"/>
    </row>
    <row r="624" spans="9:9" x14ac:dyDescent="0.35">
      <c r="I624" s="13"/>
    </row>
    <row r="625" spans="9:9" x14ac:dyDescent="0.35">
      <c r="I625" s="13"/>
    </row>
    <row r="626" spans="9:9" x14ac:dyDescent="0.35">
      <c r="I626" s="13"/>
    </row>
    <row r="627" spans="9:9" x14ac:dyDescent="0.35">
      <c r="I627" s="13"/>
    </row>
    <row r="628" spans="9:9" x14ac:dyDescent="0.35">
      <c r="I628" s="13"/>
    </row>
    <row r="629" spans="9:9" x14ac:dyDescent="0.35">
      <c r="I629" s="13"/>
    </row>
    <row r="630" spans="9:9" x14ac:dyDescent="0.35">
      <c r="I630" s="13"/>
    </row>
    <row r="631" spans="9:9" x14ac:dyDescent="0.35">
      <c r="I631" s="13"/>
    </row>
    <row r="632" spans="9:9" x14ac:dyDescent="0.35">
      <c r="I632" s="13"/>
    </row>
    <row r="633" spans="9:9" x14ac:dyDescent="0.35">
      <c r="I633" s="13"/>
    </row>
    <row r="634" spans="9:9" x14ac:dyDescent="0.35">
      <c r="I634" s="13"/>
    </row>
    <row r="635" spans="9:9" x14ac:dyDescent="0.35">
      <c r="I635" s="13"/>
    </row>
    <row r="636" spans="9:9" x14ac:dyDescent="0.35">
      <c r="I636" s="13"/>
    </row>
    <row r="637" spans="9:9" x14ac:dyDescent="0.35">
      <c r="I637" s="13"/>
    </row>
    <row r="638" spans="9:9" x14ac:dyDescent="0.35">
      <c r="I638" s="13"/>
    </row>
    <row r="639" spans="9:9" x14ac:dyDescent="0.35">
      <c r="I639" s="13"/>
    </row>
    <row r="640" spans="9:9" x14ac:dyDescent="0.35">
      <c r="I640" s="13"/>
    </row>
    <row r="641" spans="9:9" x14ac:dyDescent="0.35">
      <c r="I641" s="13"/>
    </row>
    <row r="642" spans="9:9" x14ac:dyDescent="0.35">
      <c r="I642" s="13"/>
    </row>
    <row r="643" spans="9:9" x14ac:dyDescent="0.35">
      <c r="I643" s="13"/>
    </row>
    <row r="644" spans="9:9" x14ac:dyDescent="0.35">
      <c r="I644" s="13"/>
    </row>
    <row r="645" spans="9:9" x14ac:dyDescent="0.35">
      <c r="I645" s="13"/>
    </row>
    <row r="646" spans="9:9" x14ac:dyDescent="0.35">
      <c r="I646" s="13"/>
    </row>
    <row r="647" spans="9:9" x14ac:dyDescent="0.35">
      <c r="I647" s="13"/>
    </row>
    <row r="648" spans="9:9" x14ac:dyDescent="0.35">
      <c r="I648" s="13"/>
    </row>
    <row r="649" spans="9:9" x14ac:dyDescent="0.35">
      <c r="I649" s="13"/>
    </row>
    <row r="650" spans="9:9" x14ac:dyDescent="0.35">
      <c r="I650" s="13"/>
    </row>
    <row r="651" spans="9:9" x14ac:dyDescent="0.35">
      <c r="I651" s="13"/>
    </row>
    <row r="652" spans="9:9" x14ac:dyDescent="0.35">
      <c r="I652" s="13"/>
    </row>
    <row r="653" spans="9:9" x14ac:dyDescent="0.35">
      <c r="I653" s="13"/>
    </row>
    <row r="654" spans="9:9" x14ac:dyDescent="0.35">
      <c r="I654" s="13"/>
    </row>
    <row r="655" spans="9:9" x14ac:dyDescent="0.35">
      <c r="I655" s="13"/>
    </row>
    <row r="656" spans="9:9" x14ac:dyDescent="0.35">
      <c r="I656" s="13"/>
    </row>
    <row r="657" spans="9:9" x14ac:dyDescent="0.35">
      <c r="I657" s="13"/>
    </row>
    <row r="658" spans="9:9" x14ac:dyDescent="0.35">
      <c r="I658" s="13"/>
    </row>
    <row r="659" spans="9:9" x14ac:dyDescent="0.35">
      <c r="I659" s="13"/>
    </row>
    <row r="660" spans="9:9" x14ac:dyDescent="0.35">
      <c r="I660" s="13"/>
    </row>
    <row r="661" spans="9:9" x14ac:dyDescent="0.35">
      <c r="I661" s="13"/>
    </row>
    <row r="662" spans="9:9" x14ac:dyDescent="0.35">
      <c r="I662" s="13"/>
    </row>
    <row r="663" spans="9:9" x14ac:dyDescent="0.35">
      <c r="I663" s="13"/>
    </row>
    <row r="664" spans="9:9" x14ac:dyDescent="0.35">
      <c r="I664" s="13"/>
    </row>
    <row r="665" spans="9:9" x14ac:dyDescent="0.35">
      <c r="I665" s="13"/>
    </row>
    <row r="666" spans="9:9" x14ac:dyDescent="0.35">
      <c r="I666" s="13"/>
    </row>
    <row r="667" spans="9:9" x14ac:dyDescent="0.35">
      <c r="I667" s="13"/>
    </row>
    <row r="668" spans="9:9" x14ac:dyDescent="0.35">
      <c r="I668" s="13"/>
    </row>
    <row r="669" spans="9:9" x14ac:dyDescent="0.35">
      <c r="I669" s="13"/>
    </row>
    <row r="670" spans="9:9" x14ac:dyDescent="0.35">
      <c r="I670" s="13"/>
    </row>
    <row r="671" spans="9:9" x14ac:dyDescent="0.35">
      <c r="I671" s="13"/>
    </row>
    <row r="672" spans="9:9" x14ac:dyDescent="0.35">
      <c r="I672" s="13"/>
    </row>
    <row r="673" spans="9:9" x14ac:dyDescent="0.35">
      <c r="I673" s="13"/>
    </row>
    <row r="674" spans="9:9" x14ac:dyDescent="0.35">
      <c r="I674" s="13"/>
    </row>
    <row r="675" spans="9:9" x14ac:dyDescent="0.35">
      <c r="I675" s="13"/>
    </row>
    <row r="676" spans="9:9" x14ac:dyDescent="0.35">
      <c r="I676" s="13"/>
    </row>
    <row r="677" spans="9:9" x14ac:dyDescent="0.35">
      <c r="I677" s="13"/>
    </row>
    <row r="678" spans="9:9" x14ac:dyDescent="0.35">
      <c r="I678" s="13"/>
    </row>
    <row r="679" spans="9:9" x14ac:dyDescent="0.35">
      <c r="I679" s="13"/>
    </row>
    <row r="680" spans="9:9" x14ac:dyDescent="0.35">
      <c r="I680" s="13"/>
    </row>
    <row r="681" spans="9:9" x14ac:dyDescent="0.35">
      <c r="I681" s="13"/>
    </row>
    <row r="682" spans="9:9" x14ac:dyDescent="0.35">
      <c r="I682" s="13"/>
    </row>
    <row r="683" spans="9:9" x14ac:dyDescent="0.35">
      <c r="I683" s="13"/>
    </row>
    <row r="684" spans="9:9" x14ac:dyDescent="0.35">
      <c r="I684" s="13"/>
    </row>
    <row r="685" spans="9:9" x14ac:dyDescent="0.35">
      <c r="I685" s="13"/>
    </row>
    <row r="686" spans="9:9" x14ac:dyDescent="0.35">
      <c r="I686" s="13"/>
    </row>
    <row r="687" spans="9:9" x14ac:dyDescent="0.35">
      <c r="I687" s="13"/>
    </row>
    <row r="688" spans="9:9" x14ac:dyDescent="0.35">
      <c r="I688" s="13"/>
    </row>
    <row r="689" spans="9:9" x14ac:dyDescent="0.35">
      <c r="I689" s="13"/>
    </row>
    <row r="690" spans="9:9" x14ac:dyDescent="0.35">
      <c r="I690" s="13"/>
    </row>
    <row r="691" spans="9:9" x14ac:dyDescent="0.35">
      <c r="I691" s="13"/>
    </row>
    <row r="692" spans="9:9" x14ac:dyDescent="0.35">
      <c r="I692" s="13"/>
    </row>
    <row r="693" spans="9:9" x14ac:dyDescent="0.35">
      <c r="I693" s="13"/>
    </row>
    <row r="694" spans="9:9" x14ac:dyDescent="0.35">
      <c r="I694" s="13"/>
    </row>
    <row r="695" spans="9:9" x14ac:dyDescent="0.35">
      <c r="I695" s="13"/>
    </row>
    <row r="696" spans="9:9" x14ac:dyDescent="0.35">
      <c r="I696" s="13"/>
    </row>
    <row r="697" spans="9:9" x14ac:dyDescent="0.35">
      <c r="I697" s="13"/>
    </row>
    <row r="698" spans="9:9" x14ac:dyDescent="0.35">
      <c r="I698" s="13"/>
    </row>
    <row r="699" spans="9:9" x14ac:dyDescent="0.35">
      <c r="I699" s="13"/>
    </row>
    <row r="700" spans="9:9" x14ac:dyDescent="0.35">
      <c r="I700" s="13"/>
    </row>
    <row r="701" spans="9:9" x14ac:dyDescent="0.35">
      <c r="I701" s="13"/>
    </row>
    <row r="702" spans="9:9" x14ac:dyDescent="0.35">
      <c r="I702" s="13"/>
    </row>
    <row r="703" spans="9:9" x14ac:dyDescent="0.35">
      <c r="I703" s="13"/>
    </row>
    <row r="704" spans="9:9" x14ac:dyDescent="0.35">
      <c r="I704" s="13"/>
    </row>
    <row r="705" spans="9:9" x14ac:dyDescent="0.35">
      <c r="I705" s="13"/>
    </row>
    <row r="706" spans="9:9" x14ac:dyDescent="0.35">
      <c r="I706" s="13"/>
    </row>
    <row r="707" spans="9:9" x14ac:dyDescent="0.35">
      <c r="I707" s="13"/>
    </row>
    <row r="708" spans="9:9" x14ac:dyDescent="0.35">
      <c r="I708" s="13"/>
    </row>
    <row r="709" spans="9:9" x14ac:dyDescent="0.35">
      <c r="I709" s="13"/>
    </row>
    <row r="710" spans="9:9" x14ac:dyDescent="0.35">
      <c r="I710" s="13"/>
    </row>
    <row r="711" spans="9:9" x14ac:dyDescent="0.35">
      <c r="I711" s="13"/>
    </row>
    <row r="712" spans="9:9" x14ac:dyDescent="0.35">
      <c r="I712" s="13"/>
    </row>
    <row r="713" spans="9:9" x14ac:dyDescent="0.35">
      <c r="I713" s="13"/>
    </row>
    <row r="714" spans="9:9" x14ac:dyDescent="0.35">
      <c r="I714" s="13"/>
    </row>
    <row r="715" spans="9:9" x14ac:dyDescent="0.35">
      <c r="I715" s="13"/>
    </row>
    <row r="716" spans="9:9" x14ac:dyDescent="0.35">
      <c r="I716" s="13"/>
    </row>
    <row r="717" spans="9:9" x14ac:dyDescent="0.35">
      <c r="I717" s="13"/>
    </row>
    <row r="718" spans="9:9" x14ac:dyDescent="0.35">
      <c r="I718" s="13"/>
    </row>
    <row r="719" spans="9:9" x14ac:dyDescent="0.35">
      <c r="I719" s="13"/>
    </row>
    <row r="720" spans="9:9" x14ac:dyDescent="0.35">
      <c r="I720" s="13"/>
    </row>
    <row r="721" spans="9:9" x14ac:dyDescent="0.35">
      <c r="I721" s="13"/>
    </row>
    <row r="722" spans="9:9" x14ac:dyDescent="0.35">
      <c r="I722" s="13"/>
    </row>
    <row r="723" spans="9:9" x14ac:dyDescent="0.35">
      <c r="I723" s="13"/>
    </row>
    <row r="724" spans="9:9" x14ac:dyDescent="0.35">
      <c r="I724" s="13"/>
    </row>
    <row r="725" spans="9:9" x14ac:dyDescent="0.35">
      <c r="I725" s="13"/>
    </row>
    <row r="726" spans="9:9" x14ac:dyDescent="0.35">
      <c r="I726" s="13"/>
    </row>
    <row r="727" spans="9:9" x14ac:dyDescent="0.35">
      <c r="I727" s="13"/>
    </row>
    <row r="728" spans="9:9" x14ac:dyDescent="0.35">
      <c r="I728" s="13"/>
    </row>
    <row r="729" spans="9:9" x14ac:dyDescent="0.35">
      <c r="I729" s="13"/>
    </row>
    <row r="730" spans="9:9" x14ac:dyDescent="0.35">
      <c r="I730" s="13"/>
    </row>
    <row r="731" spans="9:9" x14ac:dyDescent="0.35">
      <c r="I731" s="13"/>
    </row>
    <row r="732" spans="9:9" x14ac:dyDescent="0.35">
      <c r="I732" s="13"/>
    </row>
    <row r="733" spans="9:9" x14ac:dyDescent="0.35">
      <c r="I733" s="13"/>
    </row>
    <row r="734" spans="9:9" x14ac:dyDescent="0.35">
      <c r="I734" s="13"/>
    </row>
    <row r="735" spans="9:9" x14ac:dyDescent="0.35">
      <c r="I735" s="13"/>
    </row>
    <row r="736" spans="9:9" x14ac:dyDescent="0.35">
      <c r="I736" s="13"/>
    </row>
    <row r="737" spans="9:9" x14ac:dyDescent="0.35">
      <c r="I737" s="13"/>
    </row>
    <row r="738" spans="9:9" x14ac:dyDescent="0.35">
      <c r="I738" s="13"/>
    </row>
    <row r="739" spans="9:9" x14ac:dyDescent="0.35">
      <c r="I739" s="13"/>
    </row>
    <row r="740" spans="9:9" x14ac:dyDescent="0.35">
      <c r="I740" s="13"/>
    </row>
    <row r="741" spans="9:9" x14ac:dyDescent="0.35">
      <c r="I741" s="13"/>
    </row>
    <row r="742" spans="9:9" x14ac:dyDescent="0.35">
      <c r="I742" s="13"/>
    </row>
    <row r="743" spans="9:9" x14ac:dyDescent="0.35">
      <c r="I743" s="13"/>
    </row>
    <row r="744" spans="9:9" x14ac:dyDescent="0.35">
      <c r="I744" s="13"/>
    </row>
    <row r="745" spans="9:9" x14ac:dyDescent="0.35">
      <c r="I745" s="13"/>
    </row>
    <row r="746" spans="9:9" x14ac:dyDescent="0.35">
      <c r="I746" s="13"/>
    </row>
    <row r="747" spans="9:9" x14ac:dyDescent="0.35">
      <c r="I747" s="13"/>
    </row>
    <row r="748" spans="9:9" x14ac:dyDescent="0.35">
      <c r="I748" s="13"/>
    </row>
    <row r="749" spans="9:9" x14ac:dyDescent="0.35">
      <c r="I749" s="13"/>
    </row>
    <row r="750" spans="9:9" x14ac:dyDescent="0.35">
      <c r="I750" s="13"/>
    </row>
    <row r="751" spans="9:9" x14ac:dyDescent="0.35">
      <c r="I751" s="13"/>
    </row>
    <row r="752" spans="9:9" x14ac:dyDescent="0.35">
      <c r="I752" s="13"/>
    </row>
    <row r="753" spans="9:9" x14ac:dyDescent="0.35">
      <c r="I753" s="13"/>
    </row>
    <row r="754" spans="9:9" x14ac:dyDescent="0.35">
      <c r="I754" s="13"/>
    </row>
    <row r="755" spans="9:9" x14ac:dyDescent="0.35">
      <c r="I755" s="13"/>
    </row>
    <row r="756" spans="9:9" x14ac:dyDescent="0.35">
      <c r="I756" s="13"/>
    </row>
    <row r="757" spans="9:9" x14ac:dyDescent="0.35">
      <c r="I757" s="13"/>
    </row>
    <row r="758" spans="9:9" x14ac:dyDescent="0.35">
      <c r="I758" s="13"/>
    </row>
    <row r="759" spans="9:9" x14ac:dyDescent="0.35">
      <c r="I759" s="13"/>
    </row>
    <row r="760" spans="9:9" x14ac:dyDescent="0.35">
      <c r="I760" s="13"/>
    </row>
    <row r="761" spans="9:9" x14ac:dyDescent="0.35">
      <c r="I761" s="13"/>
    </row>
    <row r="762" spans="9:9" x14ac:dyDescent="0.35">
      <c r="I762" s="13"/>
    </row>
    <row r="763" spans="9:9" x14ac:dyDescent="0.35">
      <c r="I763" s="13"/>
    </row>
    <row r="764" spans="9:9" x14ac:dyDescent="0.35">
      <c r="I764" s="13"/>
    </row>
    <row r="765" spans="9:9" x14ac:dyDescent="0.35">
      <c r="I765" s="13"/>
    </row>
    <row r="766" spans="9:9" x14ac:dyDescent="0.35">
      <c r="I766" s="13"/>
    </row>
    <row r="767" spans="9:9" x14ac:dyDescent="0.35">
      <c r="I767" s="13"/>
    </row>
    <row r="768" spans="9:9" x14ac:dyDescent="0.35">
      <c r="I768" s="13"/>
    </row>
    <row r="769" spans="9:9" x14ac:dyDescent="0.35">
      <c r="I769" s="13"/>
    </row>
    <row r="770" spans="9:9" x14ac:dyDescent="0.35">
      <c r="I770" s="13"/>
    </row>
    <row r="771" spans="9:9" x14ac:dyDescent="0.35">
      <c r="I771" s="13"/>
    </row>
    <row r="772" spans="9:9" x14ac:dyDescent="0.35">
      <c r="I772" s="13"/>
    </row>
    <row r="773" spans="9:9" x14ac:dyDescent="0.35">
      <c r="I773" s="13"/>
    </row>
    <row r="774" spans="9:9" x14ac:dyDescent="0.35">
      <c r="I774" s="13"/>
    </row>
    <row r="775" spans="9:9" x14ac:dyDescent="0.35">
      <c r="I775" s="13"/>
    </row>
    <row r="776" spans="9:9" x14ac:dyDescent="0.35">
      <c r="I776" s="13"/>
    </row>
    <row r="777" spans="9:9" x14ac:dyDescent="0.35">
      <c r="I777" s="13"/>
    </row>
    <row r="778" spans="9:9" x14ac:dyDescent="0.35">
      <c r="I778" s="13"/>
    </row>
    <row r="779" spans="9:9" x14ac:dyDescent="0.35">
      <c r="I779" s="13"/>
    </row>
    <row r="780" spans="9:9" x14ac:dyDescent="0.35">
      <c r="I780" s="13"/>
    </row>
    <row r="781" spans="9:9" x14ac:dyDescent="0.35">
      <c r="I781" s="13"/>
    </row>
    <row r="782" spans="9:9" x14ac:dyDescent="0.35">
      <c r="I782" s="13"/>
    </row>
    <row r="783" spans="9:9" x14ac:dyDescent="0.35">
      <c r="I783" s="13"/>
    </row>
    <row r="784" spans="9:9" x14ac:dyDescent="0.35">
      <c r="I784" s="13"/>
    </row>
    <row r="785" spans="9:9" x14ac:dyDescent="0.35">
      <c r="I785" s="13"/>
    </row>
    <row r="786" spans="9:9" x14ac:dyDescent="0.35">
      <c r="I786" s="13"/>
    </row>
    <row r="787" spans="9:9" x14ac:dyDescent="0.35">
      <c r="I787" s="13"/>
    </row>
    <row r="788" spans="9:9" x14ac:dyDescent="0.35">
      <c r="I788" s="13"/>
    </row>
    <row r="789" spans="9:9" x14ac:dyDescent="0.35">
      <c r="I789" s="13"/>
    </row>
    <row r="790" spans="9:9" x14ac:dyDescent="0.35">
      <c r="I790" s="13"/>
    </row>
    <row r="791" spans="9:9" x14ac:dyDescent="0.35">
      <c r="I791" s="13"/>
    </row>
    <row r="792" spans="9:9" x14ac:dyDescent="0.35">
      <c r="I792" s="13"/>
    </row>
    <row r="793" spans="9:9" x14ac:dyDescent="0.35">
      <c r="I793" s="13"/>
    </row>
    <row r="794" spans="9:9" x14ac:dyDescent="0.35">
      <c r="I794" s="13"/>
    </row>
    <row r="795" spans="9:9" x14ac:dyDescent="0.35">
      <c r="I795" s="13"/>
    </row>
    <row r="796" spans="9:9" x14ac:dyDescent="0.35">
      <c r="I796" s="13"/>
    </row>
    <row r="797" spans="9:9" x14ac:dyDescent="0.35">
      <c r="I797" s="13"/>
    </row>
    <row r="798" spans="9:9" x14ac:dyDescent="0.35">
      <c r="I798" s="13"/>
    </row>
    <row r="799" spans="9:9" x14ac:dyDescent="0.35">
      <c r="I799" s="13"/>
    </row>
    <row r="800" spans="9:9" x14ac:dyDescent="0.35">
      <c r="I800" s="13"/>
    </row>
    <row r="801" spans="9:9" x14ac:dyDescent="0.35">
      <c r="I801" s="13"/>
    </row>
    <row r="802" spans="9:9" x14ac:dyDescent="0.35">
      <c r="I802" s="13"/>
    </row>
    <row r="803" spans="9:9" x14ac:dyDescent="0.35">
      <c r="I803" s="13"/>
    </row>
    <row r="804" spans="9:9" x14ac:dyDescent="0.35">
      <c r="I804" s="13"/>
    </row>
    <row r="805" spans="9:9" x14ac:dyDescent="0.35">
      <c r="I805" s="13"/>
    </row>
    <row r="806" spans="9:9" x14ac:dyDescent="0.35">
      <c r="I806" s="13"/>
    </row>
    <row r="807" spans="9:9" x14ac:dyDescent="0.35">
      <c r="I807" s="13"/>
    </row>
    <row r="808" spans="9:9" x14ac:dyDescent="0.35">
      <c r="I808" s="13"/>
    </row>
    <row r="809" spans="9:9" x14ac:dyDescent="0.35">
      <c r="I809" s="13"/>
    </row>
    <row r="810" spans="9:9" x14ac:dyDescent="0.35">
      <c r="I810" s="13"/>
    </row>
    <row r="811" spans="9:9" x14ac:dyDescent="0.35">
      <c r="I811" s="13"/>
    </row>
    <row r="812" spans="9:9" x14ac:dyDescent="0.35">
      <c r="I812" s="13"/>
    </row>
    <row r="813" spans="9:9" x14ac:dyDescent="0.35">
      <c r="I813" s="13"/>
    </row>
    <row r="814" spans="9:9" x14ac:dyDescent="0.35">
      <c r="I814" s="13"/>
    </row>
    <row r="815" spans="9:9" x14ac:dyDescent="0.35">
      <c r="I815" s="13"/>
    </row>
    <row r="816" spans="9:9" x14ac:dyDescent="0.35">
      <c r="I816" s="13"/>
    </row>
    <row r="817" spans="9:9" x14ac:dyDescent="0.35">
      <c r="I817" s="13"/>
    </row>
    <row r="818" spans="9:9" x14ac:dyDescent="0.35">
      <c r="I818" s="13"/>
    </row>
    <row r="819" spans="9:9" x14ac:dyDescent="0.35">
      <c r="I819" s="13"/>
    </row>
    <row r="820" spans="9:9" x14ac:dyDescent="0.35">
      <c r="I820" s="13"/>
    </row>
    <row r="821" spans="9:9" x14ac:dyDescent="0.35">
      <c r="I821" s="13"/>
    </row>
    <row r="822" spans="9:9" x14ac:dyDescent="0.35">
      <c r="I822" s="13"/>
    </row>
    <row r="823" spans="9:9" x14ac:dyDescent="0.35">
      <c r="I823" s="13"/>
    </row>
    <row r="824" spans="9:9" x14ac:dyDescent="0.35">
      <c r="I824" s="13"/>
    </row>
    <row r="825" spans="9:9" x14ac:dyDescent="0.35">
      <c r="I825" s="13"/>
    </row>
    <row r="826" spans="9:9" x14ac:dyDescent="0.35">
      <c r="I826" s="13"/>
    </row>
    <row r="827" spans="9:9" x14ac:dyDescent="0.35">
      <c r="I827" s="13"/>
    </row>
    <row r="828" spans="9:9" x14ac:dyDescent="0.35">
      <c r="I828" s="13"/>
    </row>
    <row r="829" spans="9:9" x14ac:dyDescent="0.35">
      <c r="I829" s="13"/>
    </row>
    <row r="830" spans="9:9" x14ac:dyDescent="0.35">
      <c r="I830" s="13"/>
    </row>
    <row r="831" spans="9:9" x14ac:dyDescent="0.35">
      <c r="I831" s="13"/>
    </row>
    <row r="832" spans="9:9" x14ac:dyDescent="0.35">
      <c r="I832" s="13"/>
    </row>
    <row r="833" spans="9:9" x14ac:dyDescent="0.35">
      <c r="I833" s="13"/>
    </row>
    <row r="834" spans="9:9" x14ac:dyDescent="0.35">
      <c r="I834" s="13"/>
    </row>
    <row r="835" spans="9:9" x14ac:dyDescent="0.35">
      <c r="I835" s="13"/>
    </row>
    <row r="836" spans="9:9" x14ac:dyDescent="0.35">
      <c r="I836" s="13"/>
    </row>
    <row r="837" spans="9:9" x14ac:dyDescent="0.35">
      <c r="I837" s="13"/>
    </row>
    <row r="838" spans="9:9" x14ac:dyDescent="0.35">
      <c r="I838" s="13"/>
    </row>
    <row r="839" spans="9:9" x14ac:dyDescent="0.35">
      <c r="I839" s="13"/>
    </row>
    <row r="840" spans="9:9" x14ac:dyDescent="0.35">
      <c r="I840" s="13"/>
    </row>
    <row r="841" spans="9:9" x14ac:dyDescent="0.35">
      <c r="I841" s="13"/>
    </row>
    <row r="842" spans="9:9" x14ac:dyDescent="0.35">
      <c r="I842" s="13"/>
    </row>
    <row r="843" spans="9:9" x14ac:dyDescent="0.35">
      <c r="I843" s="13"/>
    </row>
    <row r="844" spans="9:9" x14ac:dyDescent="0.35">
      <c r="I844" s="13"/>
    </row>
    <row r="845" spans="9:9" x14ac:dyDescent="0.35">
      <c r="I845" s="13"/>
    </row>
    <row r="846" spans="9:9" x14ac:dyDescent="0.35">
      <c r="I846" s="13"/>
    </row>
    <row r="847" spans="9:9" x14ac:dyDescent="0.35">
      <c r="I847" s="13"/>
    </row>
    <row r="848" spans="9:9" x14ac:dyDescent="0.35">
      <c r="I848" s="13"/>
    </row>
    <row r="849" spans="9:9" x14ac:dyDescent="0.35">
      <c r="I849" s="13"/>
    </row>
    <row r="850" spans="9:9" x14ac:dyDescent="0.35">
      <c r="I850" s="13"/>
    </row>
    <row r="851" spans="9:9" x14ac:dyDescent="0.35">
      <c r="I851" s="13"/>
    </row>
    <row r="852" spans="9:9" x14ac:dyDescent="0.35">
      <c r="I852" s="13"/>
    </row>
    <row r="853" spans="9:9" x14ac:dyDescent="0.35">
      <c r="I853" s="13"/>
    </row>
    <row r="854" spans="9:9" x14ac:dyDescent="0.35">
      <c r="I854" s="13"/>
    </row>
    <row r="855" spans="9:9" x14ac:dyDescent="0.35">
      <c r="I855" s="13"/>
    </row>
    <row r="856" spans="9:9" x14ac:dyDescent="0.35">
      <c r="I856" s="13"/>
    </row>
    <row r="857" spans="9:9" x14ac:dyDescent="0.35">
      <c r="I857" s="13"/>
    </row>
    <row r="858" spans="9:9" x14ac:dyDescent="0.35">
      <c r="I858" s="13"/>
    </row>
    <row r="859" spans="9:9" x14ac:dyDescent="0.35">
      <c r="I859" s="13"/>
    </row>
    <row r="860" spans="9:9" x14ac:dyDescent="0.35">
      <c r="I860" s="13"/>
    </row>
    <row r="861" spans="9:9" x14ac:dyDescent="0.35">
      <c r="I861" s="13"/>
    </row>
    <row r="862" spans="9:9" x14ac:dyDescent="0.35">
      <c r="I862" s="13"/>
    </row>
    <row r="863" spans="9:9" x14ac:dyDescent="0.35">
      <c r="I863" s="13"/>
    </row>
    <row r="864" spans="9:9" x14ac:dyDescent="0.35">
      <c r="I864" s="13"/>
    </row>
    <row r="865" spans="9:9" x14ac:dyDescent="0.35">
      <c r="I865" s="13"/>
    </row>
    <row r="866" spans="9:9" x14ac:dyDescent="0.35">
      <c r="I866" s="13"/>
    </row>
    <row r="867" spans="9:9" x14ac:dyDescent="0.35">
      <c r="I867" s="13"/>
    </row>
    <row r="868" spans="9:9" x14ac:dyDescent="0.35">
      <c r="I868" s="13"/>
    </row>
    <row r="869" spans="9:9" x14ac:dyDescent="0.35">
      <c r="I869" s="13"/>
    </row>
    <row r="870" spans="9:9" x14ac:dyDescent="0.35">
      <c r="I870" s="13"/>
    </row>
    <row r="871" spans="9:9" x14ac:dyDescent="0.35">
      <c r="I871" s="13"/>
    </row>
    <row r="872" spans="9:9" x14ac:dyDescent="0.35">
      <c r="I872" s="13"/>
    </row>
    <row r="873" spans="9:9" x14ac:dyDescent="0.35">
      <c r="I873" s="13"/>
    </row>
    <row r="874" spans="9:9" x14ac:dyDescent="0.35">
      <c r="I874" s="13"/>
    </row>
    <row r="875" spans="9:9" x14ac:dyDescent="0.35">
      <c r="I875" s="13"/>
    </row>
    <row r="876" spans="9:9" x14ac:dyDescent="0.35">
      <c r="I876" s="13"/>
    </row>
    <row r="877" spans="9:9" x14ac:dyDescent="0.35">
      <c r="I877" s="13"/>
    </row>
    <row r="878" spans="9:9" x14ac:dyDescent="0.35">
      <c r="I878" s="13"/>
    </row>
    <row r="879" spans="9:9" x14ac:dyDescent="0.35">
      <c r="I879" s="13"/>
    </row>
    <row r="880" spans="9:9" x14ac:dyDescent="0.35">
      <c r="I880" s="13"/>
    </row>
    <row r="881" spans="9:9" x14ac:dyDescent="0.35">
      <c r="I881" s="13"/>
    </row>
    <row r="882" spans="9:9" x14ac:dyDescent="0.35">
      <c r="I882" s="13"/>
    </row>
    <row r="883" spans="9:9" x14ac:dyDescent="0.35">
      <c r="I883" s="13"/>
    </row>
    <row r="884" spans="9:9" x14ac:dyDescent="0.35">
      <c r="I884" s="13"/>
    </row>
    <row r="885" spans="9:9" x14ac:dyDescent="0.35">
      <c r="I885" s="13"/>
    </row>
    <row r="886" spans="9:9" x14ac:dyDescent="0.35">
      <c r="I886" s="13"/>
    </row>
    <row r="887" spans="9:9" x14ac:dyDescent="0.35">
      <c r="I887" s="13"/>
    </row>
    <row r="888" spans="9:9" x14ac:dyDescent="0.35">
      <c r="I888" s="13"/>
    </row>
    <row r="889" spans="9:9" x14ac:dyDescent="0.35">
      <c r="I889" s="13"/>
    </row>
    <row r="890" spans="9:9" x14ac:dyDescent="0.35">
      <c r="I890" s="13"/>
    </row>
    <row r="891" spans="9:9" x14ac:dyDescent="0.35">
      <c r="I891" s="13"/>
    </row>
    <row r="892" spans="9:9" x14ac:dyDescent="0.35">
      <c r="I892" s="13"/>
    </row>
    <row r="893" spans="9:9" x14ac:dyDescent="0.35">
      <c r="I893" s="13"/>
    </row>
    <row r="894" spans="9:9" x14ac:dyDescent="0.35">
      <c r="I894" s="13"/>
    </row>
    <row r="895" spans="9:9" x14ac:dyDescent="0.35">
      <c r="I895" s="13"/>
    </row>
    <row r="896" spans="9:9" x14ac:dyDescent="0.35">
      <c r="I896" s="13"/>
    </row>
    <row r="897" spans="9:9" x14ac:dyDescent="0.35">
      <c r="I897" s="13"/>
    </row>
    <row r="898" spans="9:9" x14ac:dyDescent="0.35">
      <c r="I898" s="13"/>
    </row>
    <row r="899" spans="9:9" x14ac:dyDescent="0.35">
      <c r="I899" s="13"/>
    </row>
    <row r="900" spans="9:9" x14ac:dyDescent="0.35">
      <c r="I900" s="13"/>
    </row>
    <row r="901" spans="9:9" x14ac:dyDescent="0.35">
      <c r="I901" s="13"/>
    </row>
    <row r="902" spans="9:9" x14ac:dyDescent="0.35">
      <c r="I902" s="13"/>
    </row>
    <row r="903" spans="9:9" x14ac:dyDescent="0.35">
      <c r="I903" s="13"/>
    </row>
    <row r="904" spans="9:9" x14ac:dyDescent="0.35">
      <c r="I904" s="13"/>
    </row>
    <row r="905" spans="9:9" x14ac:dyDescent="0.35">
      <c r="I905" s="13"/>
    </row>
    <row r="906" spans="9:9" x14ac:dyDescent="0.35">
      <c r="I906" s="13"/>
    </row>
    <row r="907" spans="9:9" x14ac:dyDescent="0.35">
      <c r="I907" s="13"/>
    </row>
    <row r="908" spans="9:9" x14ac:dyDescent="0.35">
      <c r="I908" s="13"/>
    </row>
    <row r="909" spans="9:9" x14ac:dyDescent="0.35">
      <c r="I909" s="13"/>
    </row>
    <row r="910" spans="9:9" x14ac:dyDescent="0.35">
      <c r="I910" s="13"/>
    </row>
    <row r="911" spans="9:9" x14ac:dyDescent="0.35">
      <c r="I911" s="13"/>
    </row>
    <row r="912" spans="9:9" x14ac:dyDescent="0.35">
      <c r="I912" s="13"/>
    </row>
    <row r="913" spans="9:9" x14ac:dyDescent="0.35">
      <c r="I913" s="13"/>
    </row>
    <row r="914" spans="9:9" x14ac:dyDescent="0.35">
      <c r="I914" s="13"/>
    </row>
    <row r="915" spans="9:9" x14ac:dyDescent="0.35">
      <c r="I915" s="13"/>
    </row>
    <row r="916" spans="9:9" x14ac:dyDescent="0.35">
      <c r="I916" s="13"/>
    </row>
    <row r="917" spans="9:9" x14ac:dyDescent="0.35">
      <c r="I917" s="13"/>
    </row>
    <row r="918" spans="9:9" x14ac:dyDescent="0.35">
      <c r="I918" s="13"/>
    </row>
    <row r="919" spans="9:9" x14ac:dyDescent="0.35">
      <c r="I919" s="13"/>
    </row>
    <row r="920" spans="9:9" x14ac:dyDescent="0.35">
      <c r="I920" s="13"/>
    </row>
    <row r="921" spans="9:9" x14ac:dyDescent="0.35">
      <c r="I921" s="13"/>
    </row>
    <row r="922" spans="9:9" x14ac:dyDescent="0.35">
      <c r="I922" s="13"/>
    </row>
    <row r="923" spans="9:9" x14ac:dyDescent="0.35">
      <c r="I923" s="13"/>
    </row>
    <row r="924" spans="9:9" x14ac:dyDescent="0.35">
      <c r="I924" s="13"/>
    </row>
    <row r="925" spans="9:9" x14ac:dyDescent="0.35">
      <c r="I925" s="13"/>
    </row>
    <row r="926" spans="9:9" x14ac:dyDescent="0.35">
      <c r="I926" s="13"/>
    </row>
    <row r="927" spans="9:9" x14ac:dyDescent="0.35">
      <c r="I927" s="13"/>
    </row>
    <row r="928" spans="9:9" x14ac:dyDescent="0.35">
      <c r="I928" s="13"/>
    </row>
    <row r="929" spans="9:9" x14ac:dyDescent="0.35">
      <c r="I929" s="13"/>
    </row>
    <row r="930" spans="9:9" x14ac:dyDescent="0.35">
      <c r="I930" s="13"/>
    </row>
    <row r="931" spans="9:9" x14ac:dyDescent="0.35">
      <c r="I931" s="13"/>
    </row>
    <row r="932" spans="9:9" x14ac:dyDescent="0.35">
      <c r="I932" s="13"/>
    </row>
    <row r="933" spans="9:9" x14ac:dyDescent="0.35">
      <c r="I933" s="13"/>
    </row>
    <row r="934" spans="9:9" x14ac:dyDescent="0.35">
      <c r="I934" s="13"/>
    </row>
    <row r="935" spans="9:9" x14ac:dyDescent="0.35">
      <c r="I935" s="13"/>
    </row>
    <row r="936" spans="9:9" x14ac:dyDescent="0.35">
      <c r="I936" s="13"/>
    </row>
    <row r="937" spans="9:9" x14ac:dyDescent="0.35">
      <c r="I937" s="13"/>
    </row>
    <row r="938" spans="9:9" x14ac:dyDescent="0.35">
      <c r="I938" s="13"/>
    </row>
    <row r="939" spans="9:9" x14ac:dyDescent="0.35">
      <c r="I939" s="13"/>
    </row>
    <row r="940" spans="9:9" x14ac:dyDescent="0.35">
      <c r="I940" s="13"/>
    </row>
    <row r="941" spans="9:9" x14ac:dyDescent="0.35">
      <c r="I941" s="13"/>
    </row>
    <row r="942" spans="9:9" x14ac:dyDescent="0.35">
      <c r="I942" s="13"/>
    </row>
    <row r="943" spans="9:9" x14ac:dyDescent="0.35">
      <c r="I943" s="13"/>
    </row>
    <row r="944" spans="9:9" x14ac:dyDescent="0.35">
      <c r="I944" s="13"/>
    </row>
    <row r="945" spans="9:9" x14ac:dyDescent="0.35">
      <c r="I945" s="13"/>
    </row>
    <row r="946" spans="9:9" x14ac:dyDescent="0.35">
      <c r="I946" s="13"/>
    </row>
    <row r="947" spans="9:9" x14ac:dyDescent="0.35">
      <c r="I947" s="13"/>
    </row>
    <row r="948" spans="9:9" x14ac:dyDescent="0.35">
      <c r="I948" s="13"/>
    </row>
    <row r="949" spans="9:9" x14ac:dyDescent="0.35">
      <c r="I949" s="13"/>
    </row>
    <row r="950" spans="9:9" x14ac:dyDescent="0.35">
      <c r="I950" s="13"/>
    </row>
    <row r="951" spans="9:9" x14ac:dyDescent="0.35">
      <c r="I951" s="13"/>
    </row>
    <row r="952" spans="9:9" x14ac:dyDescent="0.35">
      <c r="I952" s="13"/>
    </row>
    <row r="953" spans="9:9" x14ac:dyDescent="0.35">
      <c r="I953" s="13"/>
    </row>
    <row r="954" spans="9:9" x14ac:dyDescent="0.35">
      <c r="I954" s="13"/>
    </row>
    <row r="955" spans="9:9" x14ac:dyDescent="0.35">
      <c r="I955" s="13"/>
    </row>
    <row r="956" spans="9:9" x14ac:dyDescent="0.35">
      <c r="I956" s="13"/>
    </row>
    <row r="957" spans="9:9" x14ac:dyDescent="0.35">
      <c r="I957" s="13"/>
    </row>
    <row r="958" spans="9:9" x14ac:dyDescent="0.35">
      <c r="I958" s="13"/>
    </row>
    <row r="959" spans="9:9" x14ac:dyDescent="0.35">
      <c r="I959" s="13"/>
    </row>
    <row r="960" spans="9:9" x14ac:dyDescent="0.35">
      <c r="I960" s="13"/>
    </row>
    <row r="961" spans="9:9" x14ac:dyDescent="0.35">
      <c r="I961" s="13"/>
    </row>
    <row r="962" spans="9:9" x14ac:dyDescent="0.35">
      <c r="I962" s="13"/>
    </row>
    <row r="963" spans="9:9" x14ac:dyDescent="0.35">
      <c r="I963" s="13"/>
    </row>
    <row r="964" spans="9:9" x14ac:dyDescent="0.35">
      <c r="I964" s="13"/>
    </row>
    <row r="965" spans="9:9" x14ac:dyDescent="0.35">
      <c r="I965" s="13"/>
    </row>
    <row r="966" spans="9:9" x14ac:dyDescent="0.35">
      <c r="I966" s="13"/>
    </row>
    <row r="967" spans="9:9" x14ac:dyDescent="0.35">
      <c r="I967" s="13"/>
    </row>
    <row r="968" spans="9:9" x14ac:dyDescent="0.35">
      <c r="I968" s="13"/>
    </row>
    <row r="969" spans="9:9" x14ac:dyDescent="0.35">
      <c r="I969" s="13"/>
    </row>
    <row r="970" spans="9:9" x14ac:dyDescent="0.35">
      <c r="I970" s="13"/>
    </row>
    <row r="971" spans="9:9" x14ac:dyDescent="0.35">
      <c r="I971" s="13"/>
    </row>
    <row r="972" spans="9:9" x14ac:dyDescent="0.35">
      <c r="I972" s="13"/>
    </row>
    <row r="973" spans="9:9" x14ac:dyDescent="0.35">
      <c r="I973" s="13"/>
    </row>
    <row r="974" spans="9:9" x14ac:dyDescent="0.35">
      <c r="I974" s="13"/>
    </row>
    <row r="975" spans="9:9" x14ac:dyDescent="0.35">
      <c r="I975" s="13"/>
    </row>
    <row r="976" spans="9:9" x14ac:dyDescent="0.35">
      <c r="I976" s="13"/>
    </row>
    <row r="977" spans="9:9" x14ac:dyDescent="0.35">
      <c r="I977" s="13"/>
    </row>
    <row r="978" spans="9:9" x14ac:dyDescent="0.35">
      <c r="I978" s="13"/>
    </row>
    <row r="979" spans="9:9" x14ac:dyDescent="0.35">
      <c r="I979" s="13"/>
    </row>
    <row r="980" spans="9:9" x14ac:dyDescent="0.35">
      <c r="I980" s="13"/>
    </row>
    <row r="981" spans="9:9" x14ac:dyDescent="0.35">
      <c r="I981" s="13"/>
    </row>
    <row r="982" spans="9:9" x14ac:dyDescent="0.35">
      <c r="I982" s="13"/>
    </row>
    <row r="983" spans="9:9" x14ac:dyDescent="0.35">
      <c r="I983" s="13"/>
    </row>
    <row r="984" spans="9:9" x14ac:dyDescent="0.35">
      <c r="I984" s="13"/>
    </row>
    <row r="985" spans="9:9" x14ac:dyDescent="0.35">
      <c r="I985" s="13"/>
    </row>
    <row r="986" spans="9:9" x14ac:dyDescent="0.35">
      <c r="I986" s="13"/>
    </row>
    <row r="987" spans="9:9" x14ac:dyDescent="0.35">
      <c r="I987" s="13"/>
    </row>
    <row r="988" spans="9:9" x14ac:dyDescent="0.35">
      <c r="I988" s="13"/>
    </row>
    <row r="989" spans="9:9" x14ac:dyDescent="0.35">
      <c r="I989" s="13"/>
    </row>
    <row r="990" spans="9:9" x14ac:dyDescent="0.35">
      <c r="I990" s="13"/>
    </row>
    <row r="991" spans="9:9" x14ac:dyDescent="0.35">
      <c r="I991" s="13"/>
    </row>
    <row r="992" spans="9:9" x14ac:dyDescent="0.35">
      <c r="I992" s="13"/>
    </row>
    <row r="993" spans="9:9" x14ac:dyDescent="0.35">
      <c r="I993" s="13"/>
    </row>
    <row r="994" spans="9:9" x14ac:dyDescent="0.35">
      <c r="I994" s="13"/>
    </row>
    <row r="995" spans="9:9" x14ac:dyDescent="0.35">
      <c r="I995" s="13"/>
    </row>
  </sheetData>
  <autoFilter ref="B1:J1" xr:uid="{F39A0E2F-3591-42E6-A6AA-7EBF3E02F3F2}">
    <sortState xmlns:xlrd2="http://schemas.microsoft.com/office/spreadsheetml/2017/richdata2" ref="B2:J32">
      <sortCondition descending="1" ref="J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Project</vt:lpstr>
      <vt:lpstr>Review1</vt:lpstr>
      <vt:lpstr>Review2</vt:lpstr>
      <vt:lpstr>Review3</vt:lpstr>
      <vt:lpstr>Defense1</vt:lpstr>
      <vt:lpstr>Defense2</vt:lpstr>
      <vt:lpstr>Summary</vt:lpstr>
      <vt:lpstr>defense1_forgroup_code</vt:lpstr>
      <vt:lpstr>defense1_list</vt:lpstr>
      <vt:lpstr>defense2_forgroup_code</vt:lpstr>
      <vt:lpstr>defense2_list</vt:lpstr>
      <vt:lpstr>review1</vt:lpstr>
      <vt:lpstr>review1_code</vt:lpstr>
      <vt:lpstr>review1_table</vt:lpstr>
      <vt:lpstr>review2</vt:lpstr>
      <vt:lpstr>review2_code</vt:lpstr>
      <vt:lpstr>review2_table</vt:lpstr>
      <vt:lpstr>review3</vt:lpstr>
      <vt:lpstr>review3_code</vt:lpstr>
      <vt:lpstr>review3_table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Lam Huu Khanh</dc:creator>
  <cp:lastModifiedBy>Phuong Lam Huu Khanh</cp:lastModifiedBy>
  <cp:lastPrinted>2026-04-13T01:16:17Z</cp:lastPrinted>
  <dcterms:created xsi:type="dcterms:W3CDTF">2026-01-20T01:32:02Z</dcterms:created>
  <dcterms:modified xsi:type="dcterms:W3CDTF">2026-05-21T06:54:51Z</dcterms:modified>
</cp:coreProperties>
</file>